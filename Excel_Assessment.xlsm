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kshitiz\Desktop\Training- Daya Analytics\Excel\"/>
    </mc:Choice>
  </mc:AlternateContent>
  <bookViews>
    <workbookView xWindow="0" yWindow="0" windowWidth="28800" windowHeight="12210" tabRatio="854" firstSheet="11" activeTab="24"/>
  </bookViews>
  <sheets>
    <sheet name="Question Paper for Excel" sheetId="4" r:id="rId1"/>
    <sheet name="Question 1" sheetId="5" r:id="rId2"/>
    <sheet name="Question 2" sheetId="6" r:id="rId3"/>
    <sheet name="Question 3" sheetId="7" r:id="rId4"/>
    <sheet name="Question 4" sheetId="8" r:id="rId5"/>
    <sheet name="Question 5" sheetId="9" r:id="rId6"/>
    <sheet name="Question 6" sheetId="10" r:id="rId7"/>
    <sheet name="Question 7" sheetId="11" r:id="rId8"/>
    <sheet name="Question 8" sheetId="12" r:id="rId9"/>
    <sheet name="Question 9" sheetId="13" r:id="rId10"/>
    <sheet name="Question 10" sheetId="14" r:id="rId11"/>
    <sheet name="Question 11" sheetId="15" r:id="rId12"/>
    <sheet name="Question 12" sheetId="16" r:id="rId13"/>
    <sheet name="Question 13" sheetId="17" r:id="rId14"/>
    <sheet name="Question 14" sheetId="18" r:id="rId15"/>
    <sheet name="Question 15" sheetId="19" r:id="rId16"/>
    <sheet name="Question 16" sheetId="21" r:id="rId17"/>
    <sheet name="Question 17" sheetId="22" r:id="rId18"/>
    <sheet name="Question 18" sheetId="23" r:id="rId19"/>
    <sheet name="Question 19" sheetId="24" r:id="rId20"/>
    <sheet name="Question 20" sheetId="20" r:id="rId21"/>
    <sheet name="Question 21" sheetId="25" r:id="rId22"/>
    <sheet name="Question 22" sheetId="26" r:id="rId23"/>
    <sheet name="Question 23" sheetId="27" r:id="rId24"/>
    <sheet name="Question 24" sheetId="28" r:id="rId25"/>
  </sheets>
  <definedNames>
    <definedName name="_xlnm._FilterDatabase" localSheetId="1" hidden="1">'Question 1'!$D$5:$F$19</definedName>
    <definedName name="_xlnm._FilterDatabase" localSheetId="10" hidden="1">'Question 10'!$E$7:$E$45</definedName>
    <definedName name="_xlnm._FilterDatabase" localSheetId="12" hidden="1">'Question 12'!$E$8:$H$23</definedName>
    <definedName name="_xlnm._FilterDatabase" localSheetId="23" hidden="1">'Question 23'!$B$2:$C$6</definedName>
    <definedName name="_xlnm._FilterDatabase" localSheetId="3" hidden="1">'Question 3'!$E$6:$H$32</definedName>
    <definedName name="_xlnm._FilterDatabase" localSheetId="8" hidden="1">'Question 8'!$D$7:$E$28</definedName>
    <definedName name="_xlnm.Extract" localSheetId="12">'Question 12'!$A$6</definedName>
  </definedNames>
  <calcPr calcId="171027"/>
  <pivotCaches>
    <pivotCache cacheId="4" r:id="rId26"/>
  </pivotCaches>
</workbook>
</file>

<file path=xl/calcChain.xml><?xml version="1.0" encoding="utf-8"?>
<calcChain xmlns="http://schemas.openxmlformats.org/spreadsheetml/2006/main">
  <c r="H8" i="28" l="1"/>
  <c r="H7" i="28"/>
  <c r="H6" i="28"/>
  <c r="G8" i="28"/>
  <c r="G7" i="28"/>
  <c r="G6" i="28"/>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23" i="27"/>
  <c r="D5" i="26"/>
  <c r="D6" i="26"/>
  <c r="D7" i="26"/>
  <c r="D8" i="26"/>
  <c r="D9" i="26"/>
  <c r="D10" i="26"/>
  <c r="D11" i="26"/>
  <c r="D12" i="26"/>
  <c r="D13" i="26"/>
  <c r="D14" i="26"/>
  <c r="D15" i="26"/>
  <c r="D16" i="26"/>
  <c r="D17" i="26"/>
  <c r="D18" i="26"/>
  <c r="D19" i="26"/>
  <c r="D20" i="26"/>
  <c r="D21" i="26"/>
  <c r="D22" i="26"/>
  <c r="D23" i="26"/>
  <c r="D24" i="26"/>
  <c r="D25" i="26"/>
  <c r="D26" i="26"/>
  <c r="D27" i="26"/>
  <c r="D28" i="26"/>
  <c r="D29" i="26"/>
  <c r="D30" i="26"/>
  <c r="D4"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 i="26"/>
  <c r="F4" i="26"/>
  <c r="F5" i="26"/>
  <c r="F6" i="26"/>
  <c r="F7" i="26"/>
  <c r="F8" i="26"/>
  <c r="F9" i="26"/>
  <c r="F10" i="26"/>
  <c r="F11" i="26"/>
  <c r="F12" i="26"/>
  <c r="F13" i="26"/>
  <c r="F14" i="26"/>
  <c r="F15" i="26"/>
  <c r="F16" i="26"/>
  <c r="F17" i="26"/>
  <c r="F18" i="26"/>
  <c r="F19" i="26"/>
  <c r="F20" i="26"/>
  <c r="F21" i="26"/>
  <c r="F22" i="26"/>
  <c r="F23" i="26"/>
  <c r="F24" i="26"/>
  <c r="F25" i="26"/>
  <c r="F26" i="26"/>
  <c r="F27" i="26"/>
  <c r="F28" i="26"/>
  <c r="F29" i="26"/>
  <c r="F30" i="26"/>
  <c r="F3" i="26"/>
  <c r="E4" i="26"/>
  <c r="E5" i="26"/>
  <c r="E6" i="26"/>
  <c r="E7" i="26"/>
  <c r="E8" i="26"/>
  <c r="E9" i="26"/>
  <c r="E10" i="26"/>
  <c r="E11" i="26"/>
  <c r="E12" i="26"/>
  <c r="E13" i="26"/>
  <c r="E14" i="26"/>
  <c r="E15" i="26"/>
  <c r="E16" i="26"/>
  <c r="E17" i="26"/>
  <c r="E18" i="26"/>
  <c r="E19" i="26"/>
  <c r="E20" i="26"/>
  <c r="E21" i="26"/>
  <c r="E22" i="26"/>
  <c r="E23" i="26"/>
  <c r="E24" i="26"/>
  <c r="E25" i="26"/>
  <c r="E26" i="26"/>
  <c r="E27" i="26"/>
  <c r="E28" i="26"/>
  <c r="E29" i="26"/>
  <c r="E30" i="26"/>
  <c r="E3" i="26"/>
  <c r="D3" i="25"/>
  <c r="D4" i="25"/>
  <c r="D5" i="25"/>
  <c r="D6" i="25"/>
  <c r="D7" i="25"/>
  <c r="D8" i="25"/>
  <c r="D9" i="25"/>
  <c r="D10" i="25"/>
  <c r="D11" i="25"/>
  <c r="D12" i="25"/>
  <c r="D13" i="25"/>
  <c r="D14" i="25"/>
  <c r="D15" i="25"/>
  <c r="D16" i="25"/>
  <c r="D17" i="25"/>
  <c r="D18" i="25"/>
  <c r="D19" i="25"/>
  <c r="D20" i="25"/>
  <c r="D21" i="25"/>
  <c r="D22" i="25"/>
  <c r="D23" i="25"/>
  <c r="D24" i="25"/>
  <c r="D25" i="25"/>
  <c r="D26" i="25"/>
  <c r="D27" i="25"/>
  <c r="D28" i="25"/>
  <c r="D29" i="25"/>
  <c r="D30" i="25"/>
  <c r="B12" i="20"/>
  <c r="C9" i="18"/>
  <c r="C8" i="18"/>
  <c r="C7" i="18"/>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2" i="17"/>
  <c r="H10" i="16"/>
  <c r="H11" i="16"/>
  <c r="H12" i="16"/>
  <c r="H13" i="16"/>
  <c r="H14" i="16"/>
  <c r="H15" i="16"/>
  <c r="H16" i="16"/>
  <c r="H17" i="16"/>
  <c r="H18" i="16"/>
  <c r="H19" i="16"/>
  <c r="H20" i="16"/>
  <c r="H21" i="16"/>
  <c r="H22" i="16"/>
  <c r="H23" i="16"/>
  <c r="H24" i="16"/>
  <c r="H9" i="16"/>
  <c r="H12" i="13"/>
  <c r="H10" i="13"/>
  <c r="H9" i="13"/>
  <c r="H7" i="13"/>
  <c r="H8" i="13"/>
  <c r="H11" i="13"/>
  <c r="G8" i="11"/>
  <c r="G9" i="11"/>
  <c r="G10" i="11"/>
  <c r="G11" i="11"/>
  <c r="G12" i="11"/>
  <c r="G13" i="11"/>
  <c r="G14" i="11"/>
  <c r="G15" i="11"/>
  <c r="G16" i="11"/>
  <c r="G17" i="11"/>
  <c r="G18" i="11"/>
  <c r="G19" i="11"/>
  <c r="G20" i="11"/>
  <c r="G21" i="11"/>
  <c r="G22" i="11"/>
  <c r="G23" i="11"/>
  <c r="G24" i="11"/>
  <c r="G25" i="11"/>
  <c r="G26" i="11"/>
  <c r="G27" i="11"/>
  <c r="G7" i="11"/>
  <c r="F28" i="10"/>
  <c r="E28" i="8"/>
  <c r="G10" i="6"/>
  <c r="G11" i="6"/>
  <c r="G12" i="6"/>
  <c r="G13" i="6"/>
  <c r="G14" i="6"/>
  <c r="G15" i="6"/>
  <c r="G9" i="6"/>
  <c r="N30" i="4" l="1"/>
</calcChain>
</file>

<file path=xl/comments1.xml><?xml version="1.0" encoding="utf-8"?>
<comments xmlns="http://schemas.openxmlformats.org/spreadsheetml/2006/main">
  <authors>
    <author>dsing36</author>
  </authors>
  <commentList>
    <comment ref="O5" authorId="0" shapeId="0">
      <text>
        <r>
          <rPr>
            <b/>
            <sz val="8"/>
            <color indexed="81"/>
            <rFont val="Tahoma"/>
            <family val="2"/>
          </rPr>
          <t>dsing36:</t>
        </r>
        <r>
          <rPr>
            <sz val="8"/>
            <color indexed="81"/>
            <rFont val="Tahoma"/>
            <family val="2"/>
          </rPr>
          <t xml:space="preserve">
For UHG Official Use</t>
        </r>
      </text>
    </comment>
  </commentList>
</comments>
</file>

<file path=xl/sharedStrings.xml><?xml version="1.0" encoding="utf-8"?>
<sst xmlns="http://schemas.openxmlformats.org/spreadsheetml/2006/main" count="693" uniqueCount="227">
  <si>
    <t>Go to Question By Clicking on numbers</t>
  </si>
  <si>
    <t>Hi</t>
  </si>
  <si>
    <t>Question No</t>
  </si>
  <si>
    <t>Marks</t>
  </si>
  <si>
    <t>Achieved</t>
  </si>
  <si>
    <t>Greetings!!!</t>
  </si>
  <si>
    <t>Welcome to UnitedHealth Group Interview!!</t>
  </si>
  <si>
    <t>Please provide the given details before you start the Test</t>
  </si>
  <si>
    <t>Best of Luck for the test!!</t>
  </si>
  <si>
    <t>Name</t>
  </si>
  <si>
    <t>DOB</t>
  </si>
  <si>
    <t>Mobile No</t>
  </si>
  <si>
    <t>Rules</t>
  </si>
  <si>
    <t>Click on Start and then OK to begin the test</t>
  </si>
  <si>
    <t>You can come back to HOME page anytime and go to any question using Question No. link</t>
  </si>
  <si>
    <t>Total Marks</t>
  </si>
  <si>
    <t>Do not delete, Edit and modify any dataset or range</t>
  </si>
  <si>
    <t>Click on End Test to finish the test</t>
  </si>
  <si>
    <t>Home</t>
  </si>
  <si>
    <t>Next Question</t>
  </si>
  <si>
    <t>Question - Sort the data in descending order by Employee_Code and in Ascending order by Designation in one go and write the method for the same as per the guidence in sample row</t>
  </si>
  <si>
    <t>EMPLOYEE_CODE</t>
  </si>
  <si>
    <t>EMPLOYEE_NAME</t>
  </si>
  <si>
    <t>DESIGNATION</t>
  </si>
  <si>
    <t>Sandeepan Dutta Rao</t>
  </si>
  <si>
    <t>Claim Associate</t>
  </si>
  <si>
    <t>Shafali Mehta Kumari</t>
  </si>
  <si>
    <t>Saurabh Sharma Seth</t>
  </si>
  <si>
    <t>Narbira</t>
  </si>
  <si>
    <t>Pankaj</t>
  </si>
  <si>
    <t>Neeraj</t>
  </si>
  <si>
    <t>Ashish</t>
  </si>
  <si>
    <t>Jawed</t>
  </si>
  <si>
    <t>Rehim</t>
  </si>
  <si>
    <t>Coding Analyst</t>
  </si>
  <si>
    <t>Delber</t>
  </si>
  <si>
    <t>Assist. Manager</t>
  </si>
  <si>
    <t>Mangal</t>
  </si>
  <si>
    <t>Deputy Manager</t>
  </si>
  <si>
    <t>Praveen</t>
  </si>
  <si>
    <t>Sr Claim Associate</t>
  </si>
  <si>
    <t>Vijai A</t>
  </si>
  <si>
    <t>Suneet</t>
  </si>
  <si>
    <t>Previous Question</t>
  </si>
  <si>
    <t>Question</t>
  </si>
  <si>
    <t>Employee_Code are not well set, We need 9 Digit Employee Codes starting with "000" for given Employee Codes</t>
  </si>
  <si>
    <t>Use only one filter to show SR CODING ANALYST and SR CLAIM ASSOCIATE Together</t>
  </si>
  <si>
    <t>TITLE</t>
  </si>
  <si>
    <t xml:space="preserve">MR        </t>
  </si>
  <si>
    <t>Shashank Shekhar Tiwari</t>
  </si>
  <si>
    <t>Sr Coding Analyst</t>
  </si>
  <si>
    <t>Dilber Singh</t>
  </si>
  <si>
    <t>Parveen Kumar</t>
  </si>
  <si>
    <t>Sunil Dutt</t>
  </si>
  <si>
    <t>Ashok Kumar</t>
  </si>
  <si>
    <t xml:space="preserve">MS        </t>
  </si>
  <si>
    <t>Uma Sundaram</t>
  </si>
  <si>
    <t>Ravindra Pal Singh</t>
  </si>
  <si>
    <t>Ashish Kumar Singh</t>
  </si>
  <si>
    <t>Ankit Khanna</t>
  </si>
  <si>
    <t>Siraj Ahmad</t>
  </si>
  <si>
    <t>Dinesh Verma</t>
  </si>
  <si>
    <t>Narendra Singh</t>
  </si>
  <si>
    <t>Amiya Singh</t>
  </si>
  <si>
    <t>Manish Sharma</t>
  </si>
  <si>
    <t>Mohd Furqan</t>
  </si>
  <si>
    <t>Bikash Chandra Sahu</t>
  </si>
  <si>
    <t>NULL</t>
  </si>
  <si>
    <t>Phani Jakka</t>
  </si>
  <si>
    <t>Veerendra Rathore</t>
  </si>
  <si>
    <t>Sushma Gopala</t>
  </si>
  <si>
    <t>Chandra Sekhar</t>
  </si>
  <si>
    <t>Deepayan Mondal</t>
  </si>
  <si>
    <t>Aman Jain</t>
  </si>
  <si>
    <t>Subject Matter Expert</t>
  </si>
  <si>
    <t>Ramkrushna Barik</t>
  </si>
  <si>
    <t>Sakhamuri Seenaiah</t>
  </si>
  <si>
    <t>Abhay Kumar Jain</t>
  </si>
  <si>
    <t>Krishna Kovelakar</t>
  </si>
  <si>
    <t>Question  - Sum the Amt column using Formula</t>
  </si>
  <si>
    <t>Amt</t>
  </si>
  <si>
    <t>Narbir Singh Raghav</t>
  </si>
  <si>
    <t>Suneeta Sarwar</t>
  </si>
  <si>
    <t>Ashish Arora</t>
  </si>
  <si>
    <t>Pankaj Gupta</t>
  </si>
  <si>
    <t>Shafali Mehta</t>
  </si>
  <si>
    <t>Null</t>
  </si>
  <si>
    <t>Jawed Nehal</t>
  </si>
  <si>
    <t>Hafiz Ul Rehman</t>
  </si>
  <si>
    <t>Sudha Jha</t>
  </si>
  <si>
    <t>Deepak Kumar Singh</t>
  </si>
  <si>
    <t>Yaiphaleima Konjengbam</t>
  </si>
  <si>
    <t>Vikas Chhetri</t>
  </si>
  <si>
    <t>Om Prakash</t>
  </si>
  <si>
    <t>Faheem Ahmed</t>
  </si>
  <si>
    <t>Dhirender Singh</t>
  </si>
  <si>
    <t>Vandana Chopra</t>
  </si>
  <si>
    <t>Prerna Bhatia</t>
  </si>
  <si>
    <t>Grand Total</t>
  </si>
  <si>
    <t>5. When you see a cell with a red triangle in the top right corner, what does this signify?</t>
  </si>
  <si>
    <t>a)</t>
  </si>
  <si>
    <t>There is an error in the cell</t>
  </si>
  <si>
    <t>b)</t>
  </si>
  <si>
    <t>There is a comment associated with the cell</t>
  </si>
  <si>
    <t>c)</t>
  </si>
  <si>
    <t>The font colour for text in the cell is red</t>
  </si>
  <si>
    <t>d)</t>
  </si>
  <si>
    <t>A formula cannot be entered into the cell</t>
  </si>
  <si>
    <t>Ans -</t>
  </si>
  <si>
    <t>Use FORMULA in order to calculate the count of all values in Amt column</t>
  </si>
  <si>
    <t>COUNT</t>
  </si>
  <si>
    <t>Calculate Length of names using FORMULA</t>
  </si>
  <si>
    <t>Length</t>
  </si>
  <si>
    <t>Highlight (colour) Duplicates from the given Name list using Filter or Formula</t>
  </si>
  <si>
    <t>Zia Shekh</t>
  </si>
  <si>
    <t>Populate Full name Column using FORMULA</t>
  </si>
  <si>
    <t>First Name</t>
  </si>
  <si>
    <t>Last Name</t>
  </si>
  <si>
    <t>Full Name</t>
  </si>
  <si>
    <t>Narbir</t>
  </si>
  <si>
    <t>Singh</t>
  </si>
  <si>
    <t>Zia</t>
  </si>
  <si>
    <t>Shekh</t>
  </si>
  <si>
    <t>Arora</t>
  </si>
  <si>
    <t xml:space="preserve">Pankaj </t>
  </si>
  <si>
    <t>Gupta</t>
  </si>
  <si>
    <t>Kumar</t>
  </si>
  <si>
    <t>Filter out =&lt; 1400 from the given AMT column</t>
  </si>
  <si>
    <t>AMT</t>
  </si>
  <si>
    <t>Insert a Pivot table in the same sheet having DESIGNATION WISE EMPLOYEE COUNT</t>
  </si>
  <si>
    <t>Use IF function to assign Given Grades for Designation Column</t>
  </si>
  <si>
    <t>Grade</t>
  </si>
  <si>
    <t>Reporting Analyst</t>
  </si>
  <si>
    <t>NA</t>
  </si>
  <si>
    <t>Varun Sharma</t>
  </si>
  <si>
    <t>ACTUAL_UTI</t>
  </si>
  <si>
    <t>FORMULA COL</t>
  </si>
  <si>
    <t xml:space="preserve">Question - </t>
  </si>
  <si>
    <t>Using formula please adjust the numeric values till 2 decimal points only</t>
  </si>
  <si>
    <t xml:space="preserve">Question </t>
  </si>
  <si>
    <t>Using formula's Get Highest value, Lowest value and Mean from the given dataset</t>
  </si>
  <si>
    <t>Ans</t>
  </si>
  <si>
    <t>Highest Value</t>
  </si>
  <si>
    <t>Lowest Value</t>
  </si>
  <si>
    <t>Mean</t>
  </si>
  <si>
    <t>When you press enter in Excel by default it goes down, Please change it to Right and write the procedure how to do that</t>
  </si>
  <si>
    <t>Look carefully for the pattern, and then choose which pair of numbers comes next</t>
  </si>
  <si>
    <t>Question:</t>
  </si>
  <si>
    <t>25 22</t>
  </si>
  <si>
    <t>26 23</t>
  </si>
  <si>
    <t>26 24</t>
  </si>
  <si>
    <t>25 23</t>
  </si>
  <si>
    <t>26 22</t>
  </si>
  <si>
    <t>Answer :</t>
  </si>
  <si>
    <t>42 40 38 35 33 31 28</t>
  </si>
  <si>
    <t>:-</t>
  </si>
  <si>
    <t>In the first 10 overs of a cricket game, the run rate was only 3.2. What should be the run rate in the remaining 40 overs to reach the target of 282 runs?</t>
  </si>
  <si>
    <t>A</t>
  </si>
  <si>
    <t>C</t>
  </si>
  <si>
    <t>B</t>
  </si>
  <si>
    <t>D</t>
  </si>
  <si>
    <t>E</t>
  </si>
  <si>
    <t xml:space="preserve">An accurate clock shows 8 o'clock in the morning. Through how may degrees will the hour hand rotate when the clock shows 2 o'clock in the afternoon? 
</t>
  </si>
  <si>
    <t>144º</t>
  </si>
  <si>
    <t>168º</t>
  </si>
  <si>
    <t>150º</t>
  </si>
  <si>
    <t>180º</t>
  </si>
  <si>
    <t xml:space="preserve">     Find Odd one out</t>
  </si>
  <si>
    <t xml:space="preserve">Total Time Taken (Mins) - </t>
  </si>
  <si>
    <t xml:space="preserve">Test Start Time - </t>
  </si>
  <si>
    <t xml:space="preserve">Expected End Time - </t>
  </si>
  <si>
    <t>6. Add the Below mention Text using Function.</t>
  </si>
  <si>
    <t xml:space="preserve"> Add the Below mention Text using Function.</t>
  </si>
  <si>
    <t>India</t>
  </si>
  <si>
    <t>Is</t>
  </si>
  <si>
    <t>Great</t>
  </si>
  <si>
    <t>Enter Formula Here</t>
  </si>
  <si>
    <t>India is Great</t>
  </si>
  <si>
    <t>Result Should be</t>
  </si>
  <si>
    <t>Abdulla</t>
  </si>
  <si>
    <t>Amit</t>
  </si>
  <si>
    <t>Sharma</t>
  </si>
  <si>
    <t>Middle</t>
  </si>
  <si>
    <t>Please set Employee Codes starting with 000 with the help of formula</t>
  </si>
  <si>
    <t>Date</t>
  </si>
  <si>
    <t>Last Date of the Month</t>
  </si>
  <si>
    <t>3-Aug-98 till 10-Aug-98</t>
  </si>
  <si>
    <t>Week Start Date and End date (Considering Monday as week start day)</t>
  </si>
  <si>
    <t>As per Govt Guidelines, overtime hours are required to be paid to employees for the number of Hours employee worked.</t>
  </si>
  <si>
    <t>If employee did Overtime for 20 min then there Is no payout but after 29 Min (i.e. 30 min and onward employee should be paid OT</t>
  </si>
  <si>
    <t>However if employee is doing OT for 31 min then OT to be paid for 60 Min, and in case of 60 Min only 60 will be paid, however in case of 65 in OT , 90 Min will be paid.</t>
  </si>
  <si>
    <t>OT to be paid for</t>
  </si>
  <si>
    <t>OT to be paid as per 30 min interval.</t>
  </si>
  <si>
    <t xml:space="preserve">Consider below grid for OT hours </t>
  </si>
  <si>
    <t>OT Minutes (Including Break) From</t>
  </si>
  <si>
    <t>OT Minutes (Including Break) To</t>
  </si>
  <si>
    <t>Eligible Break</t>
  </si>
  <si>
    <t>WeekDay</t>
  </si>
  <si>
    <t>&lt; 60</t>
  </si>
  <si>
    <t>&lt; 90</t>
  </si>
  <si>
    <t>&lt; 180</t>
  </si>
  <si>
    <t>&lt; 270</t>
  </si>
  <si>
    <t>&lt; 300</t>
  </si>
  <si>
    <t>Weekoff / Holiday</t>
  </si>
  <si>
    <t>&lt; 570</t>
  </si>
  <si>
    <t>&lt; 690</t>
  </si>
  <si>
    <t>&lt; 840</t>
  </si>
  <si>
    <t>OT Delivered</t>
  </si>
  <si>
    <t>Weekday / Weekoff</t>
  </si>
  <si>
    <t>Weekday</t>
  </si>
  <si>
    <t>Weekoff</t>
  </si>
  <si>
    <t>Original Text</t>
  </si>
  <si>
    <t>Start
Position</t>
  </si>
  <si>
    <t>New
Character</t>
  </si>
  <si>
    <t>Modified
Text</t>
  </si>
  <si>
    <t>ABCDEFGH</t>
  </si>
  <si>
    <t>x</t>
  </si>
  <si>
    <t>hello</t>
  </si>
  <si>
    <t>Characters
To be Chnaged</t>
  </si>
  <si>
    <t>AxCDEFGH</t>
  </si>
  <si>
    <t xml:space="preserve"> &lt;&lt; Exmaple</t>
  </si>
  <si>
    <r>
      <t xml:space="preserve">There are 24 questions, all are necessary in </t>
    </r>
    <r>
      <rPr>
        <b/>
        <sz val="10"/>
        <rFont val="Arial"/>
        <family val="2"/>
      </rPr>
      <t>24 Minutes</t>
    </r>
    <r>
      <rPr>
        <sz val="10"/>
        <rFont val="Arial"/>
        <family val="2"/>
      </rPr>
      <t xml:space="preserve"> (Each Question 1 min)</t>
    </r>
  </si>
  <si>
    <t>Data/ Sort</t>
  </si>
  <si>
    <t>Updated employee code</t>
  </si>
  <si>
    <t>b</t>
  </si>
  <si>
    <t>Row Labels</t>
  </si>
  <si>
    <t>Count of EMPLOYEE_NAME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</si>
</sst>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
    <numFmt numFmtId="166" formatCode="0.0"/>
  </numFmts>
  <fonts count="22" x14ac:knownFonts="1">
    <font>
      <sz val="11"/>
      <color theme="1"/>
      <name val="Calibri"/>
      <family val="2"/>
      <scheme val="minor"/>
    </font>
    <font>
      <sz val="10"/>
      <name val="Arial"/>
      <family val="2"/>
    </font>
    <font>
      <b/>
      <sz val="10"/>
      <name val="Arial"/>
      <family val="2"/>
    </font>
    <font>
      <u/>
      <sz val="10"/>
      <color indexed="12"/>
      <name val="Arial"/>
      <family val="2"/>
    </font>
    <font>
      <b/>
      <sz val="8"/>
      <color indexed="81"/>
      <name val="Tahoma"/>
      <family val="2"/>
    </font>
    <font>
      <sz val="8"/>
      <color indexed="81"/>
      <name val="Tahoma"/>
      <family val="2"/>
    </font>
    <font>
      <b/>
      <u/>
      <sz val="12"/>
      <color indexed="12"/>
      <name val="Arial"/>
      <family val="2"/>
    </font>
    <font>
      <b/>
      <u/>
      <sz val="10"/>
      <color indexed="12"/>
      <name val="Arial"/>
      <family val="2"/>
    </font>
    <font>
      <sz val="10"/>
      <color indexed="8"/>
      <name val="Verdana"/>
      <family val="2"/>
    </font>
    <font>
      <sz val="10"/>
      <name val="Verdana"/>
      <family val="2"/>
    </font>
    <font>
      <b/>
      <sz val="10"/>
      <color indexed="9"/>
      <name val="Arial"/>
      <family val="2"/>
    </font>
    <font>
      <b/>
      <sz val="11"/>
      <color theme="1"/>
      <name val="Calibri"/>
      <family val="2"/>
      <scheme val="minor"/>
    </font>
    <font>
      <b/>
      <sz val="12"/>
      <color theme="1"/>
      <name val="Calibri"/>
      <family val="2"/>
      <scheme val="minor"/>
    </font>
    <font>
      <sz val="12"/>
      <name val="Arial"/>
      <family val="2"/>
    </font>
    <font>
      <b/>
      <sz val="10"/>
      <color indexed="12"/>
      <name val="Arial"/>
      <family val="2"/>
    </font>
    <font>
      <sz val="12"/>
      <name val="Calibri"/>
      <family val="2"/>
      <scheme val="minor"/>
    </font>
    <font>
      <sz val="10"/>
      <name val="Cambria"/>
      <family val="1"/>
      <scheme val="major"/>
    </font>
    <font>
      <b/>
      <sz val="9"/>
      <color rgb="FFFFFFFF"/>
      <name val="Calibri"/>
      <family val="2"/>
      <scheme val="minor"/>
    </font>
    <font>
      <sz val="9"/>
      <color rgb="FF1F497D"/>
      <name val="Calibri"/>
      <family val="2"/>
      <scheme val="minor"/>
    </font>
    <font>
      <sz val="10"/>
      <name val="Arial"/>
    </font>
    <font>
      <sz val="10"/>
      <color indexed="20"/>
      <name val="Arial"/>
      <family val="2"/>
    </font>
    <font>
      <sz val="10"/>
      <color indexed="12"/>
      <name val="Arial"/>
      <family val="2"/>
    </font>
  </fonts>
  <fills count="11">
    <fill>
      <patternFill patternType="none"/>
    </fill>
    <fill>
      <patternFill patternType="gray125"/>
    </fill>
    <fill>
      <patternFill patternType="solid">
        <fgColor indexed="52"/>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rgb="FFD19000"/>
        <bgColor indexed="64"/>
      </patternFill>
    </fill>
    <fill>
      <patternFill patternType="solid">
        <fgColor indexed="22"/>
      </patternFill>
    </fill>
    <fill>
      <patternFill patternType="solid">
        <fgColor indexed="26"/>
      </patternFill>
    </fill>
    <fill>
      <patternFill patternType="solid">
        <fgColor rgb="FFFFFF00"/>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5">
    <xf numFmtId="0" fontId="0" fillId="0" borderId="0"/>
    <xf numFmtId="0" fontId="1" fillId="0" borderId="0"/>
    <xf numFmtId="0" fontId="3" fillId="0" borderId="0" applyNumberFormat="0" applyFill="0" applyBorder="0" applyAlignment="0" applyProtection="0">
      <alignment vertical="top"/>
      <protection locked="0"/>
    </xf>
    <xf numFmtId="0" fontId="19" fillId="8" borderId="0" applyNumberFormat="0" applyFont="0" applyBorder="0" applyAlignment="0" applyProtection="0"/>
    <xf numFmtId="0" fontId="19" fillId="9" borderId="0" applyNumberFormat="0" applyFont="0" applyBorder="0" applyAlignment="0" applyProtection="0"/>
  </cellStyleXfs>
  <cellXfs count="153">
    <xf numFmtId="0" fontId="0" fillId="0" borderId="0" xfId="0"/>
    <xf numFmtId="0" fontId="1" fillId="0" borderId="0" xfId="1"/>
    <xf numFmtId="0" fontId="2" fillId="0" borderId="1" xfId="1" applyFont="1" applyBorder="1" applyAlignment="1">
      <alignment horizontal="center"/>
    </xf>
    <xf numFmtId="0" fontId="2" fillId="2" borderId="1" xfId="1" applyFont="1" applyFill="1" applyBorder="1" applyAlignment="1">
      <alignment horizontal="center"/>
    </xf>
    <xf numFmtId="0" fontId="2" fillId="2" borderId="2" xfId="1" applyFont="1" applyFill="1" applyBorder="1" applyAlignment="1">
      <alignment horizontal="center"/>
    </xf>
    <xf numFmtId="0" fontId="3" fillId="0" borderId="3" xfId="2" applyBorder="1" applyAlignment="1" applyProtection="1">
      <alignment horizontal="center"/>
    </xf>
    <xf numFmtId="0" fontId="1" fillId="2" borderId="3" xfId="1" applyFill="1" applyBorder="1" applyAlignment="1">
      <alignment horizontal="center"/>
    </xf>
    <xf numFmtId="0" fontId="1" fillId="2" borderId="4" xfId="1" applyFill="1" applyBorder="1"/>
    <xf numFmtId="0" fontId="3" fillId="0" borderId="5" xfId="2" applyBorder="1" applyAlignment="1" applyProtection="1">
      <alignment horizontal="center"/>
    </xf>
    <xf numFmtId="0" fontId="1" fillId="2" borderId="5" xfId="1" applyFill="1" applyBorder="1" applyAlignment="1">
      <alignment horizontal="center"/>
    </xf>
    <xf numFmtId="0" fontId="1" fillId="2" borderId="6" xfId="1" applyFill="1" applyBorder="1"/>
    <xf numFmtId="0" fontId="2" fillId="0" borderId="1" xfId="1" applyFont="1" applyBorder="1"/>
    <xf numFmtId="0" fontId="2" fillId="0" borderId="0" xfId="1" applyFont="1"/>
    <xf numFmtId="0" fontId="1" fillId="0" borderId="0" xfId="1" applyAlignment="1">
      <alignment horizontal="left"/>
    </xf>
    <xf numFmtId="0" fontId="3" fillId="0" borderId="9" xfId="2" applyBorder="1" applyAlignment="1" applyProtection="1">
      <alignment horizontal="center"/>
    </xf>
    <xf numFmtId="0" fontId="1" fillId="2" borderId="9" xfId="1" applyFill="1" applyBorder="1" applyAlignment="1">
      <alignment horizontal="center"/>
    </xf>
    <xf numFmtId="0" fontId="1" fillId="2" borderId="10" xfId="1" applyFill="1" applyBorder="1"/>
    <xf numFmtId="0" fontId="1" fillId="0" borderId="1" xfId="1" applyBorder="1"/>
    <xf numFmtId="0" fontId="1" fillId="0" borderId="0" xfId="1" quotePrefix="1" applyFont="1"/>
    <xf numFmtId="0" fontId="6" fillId="0" borderId="0" xfId="2" applyFont="1" applyAlignment="1" applyProtection="1"/>
    <xf numFmtId="0" fontId="7" fillId="0" borderId="0" xfId="2" applyFont="1" applyAlignment="1" applyProtection="1"/>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164" fontId="1" fillId="0" borderId="14" xfId="1" applyNumberFormat="1" applyBorder="1" applyAlignment="1">
      <alignment horizontal="center"/>
    </xf>
    <xf numFmtId="0" fontId="1" fillId="0" borderId="15" xfId="1" applyBorder="1" applyAlignment="1">
      <alignment horizontal="center"/>
    </xf>
    <xf numFmtId="0" fontId="1" fillId="0" borderId="16" xfId="1" applyBorder="1" applyAlignment="1">
      <alignment horizontal="center"/>
    </xf>
    <xf numFmtId="164" fontId="1" fillId="0" borderId="17" xfId="1" applyNumberFormat="1" applyBorder="1" applyAlignment="1">
      <alignment horizontal="center"/>
    </xf>
    <xf numFmtId="0" fontId="1" fillId="0" borderId="18" xfId="1" applyBorder="1" applyAlignment="1">
      <alignment horizontal="center"/>
    </xf>
    <xf numFmtId="0" fontId="1" fillId="0" borderId="19" xfId="1" applyBorder="1" applyAlignment="1">
      <alignment horizontal="center"/>
    </xf>
    <xf numFmtId="164" fontId="1" fillId="0" borderId="20" xfId="1" applyNumberFormat="1" applyBorder="1" applyAlignment="1">
      <alignment horizontal="center"/>
    </xf>
    <xf numFmtId="0" fontId="1" fillId="0" borderId="21" xfId="1" applyBorder="1" applyAlignment="1">
      <alignment horizontal="center"/>
    </xf>
    <xf numFmtId="0" fontId="1" fillId="0" borderId="22" xfId="1" applyBorder="1" applyAlignment="1">
      <alignment horizontal="center"/>
    </xf>
    <xf numFmtId="0" fontId="2" fillId="0" borderId="0" xfId="1" applyFont="1" applyAlignment="1">
      <alignment horizontal="left"/>
    </xf>
    <xf numFmtId="0" fontId="1" fillId="0" borderId="0" xfId="1" quotePrefix="1" applyNumberFormat="1" applyAlignment="1">
      <alignment horizontal="left"/>
    </xf>
    <xf numFmtId="0" fontId="8" fillId="0" borderId="0" xfId="1" applyFont="1"/>
    <xf numFmtId="0" fontId="9" fillId="0" borderId="0" xfId="1" applyFont="1" applyAlignment="1">
      <alignment wrapText="1"/>
    </xf>
    <xf numFmtId="0" fontId="1" fillId="0" borderId="0" xfId="1" applyAlignment="1">
      <alignment horizontal="center"/>
    </xf>
    <xf numFmtId="0" fontId="9" fillId="0" borderId="0" xfId="1" applyFont="1" applyAlignment="1">
      <alignment horizontal="left"/>
    </xf>
    <xf numFmtId="0" fontId="1" fillId="0" borderId="0" xfId="1" applyFont="1"/>
    <xf numFmtId="0" fontId="1" fillId="0" borderId="7" xfId="1" applyBorder="1" applyAlignment="1">
      <alignment horizontal="center"/>
    </xf>
    <xf numFmtId="0" fontId="1" fillId="0" borderId="8" xfId="1" applyBorder="1" applyAlignment="1">
      <alignment horizontal="center"/>
    </xf>
    <xf numFmtId="0" fontId="2" fillId="0" borderId="11" xfId="1" applyFont="1" applyBorder="1"/>
    <xf numFmtId="0" fontId="2" fillId="0" borderId="13" xfId="1" applyFont="1" applyBorder="1"/>
    <xf numFmtId="0" fontId="1" fillId="0" borderId="14" xfId="1" applyBorder="1"/>
    <xf numFmtId="0" fontId="1" fillId="0" borderId="16" xfId="1" applyBorder="1"/>
    <xf numFmtId="0" fontId="1" fillId="0" borderId="17" xfId="1" applyBorder="1"/>
    <xf numFmtId="0" fontId="1" fillId="0" borderId="19" xfId="1" applyBorder="1"/>
    <xf numFmtId="0" fontId="1" fillId="0" borderId="20" xfId="1" applyBorder="1"/>
    <xf numFmtId="0" fontId="1" fillId="0" borderId="22" xfId="1" applyBorder="1"/>
    <xf numFmtId="0" fontId="2" fillId="0" borderId="1" xfId="1" applyFont="1" applyBorder="1" applyAlignment="1">
      <alignment horizontal="left"/>
    </xf>
    <xf numFmtId="0" fontId="2" fillId="0" borderId="8" xfId="1" applyFont="1" applyBorder="1" applyAlignment="1">
      <alignment horizontal="left"/>
    </xf>
    <xf numFmtId="0" fontId="3" fillId="0" borderId="0" xfId="2" applyAlignment="1" applyProtection="1"/>
    <xf numFmtId="0" fontId="1" fillId="0" borderId="3" xfId="1" applyFill="1" applyBorder="1"/>
    <xf numFmtId="0" fontId="1" fillId="0" borderId="5" xfId="1" applyFill="1" applyBorder="1"/>
    <xf numFmtId="0" fontId="1" fillId="0" borderId="9" xfId="1" applyFill="1" applyBorder="1"/>
    <xf numFmtId="0" fontId="2" fillId="0" borderId="12" xfId="1" applyFont="1" applyBorder="1"/>
    <xf numFmtId="0" fontId="10" fillId="3" borderId="0" xfId="1" applyFont="1" applyFill="1" applyAlignment="1">
      <alignment horizontal="center"/>
    </xf>
    <xf numFmtId="0" fontId="1" fillId="4" borderId="0" xfId="1" applyFill="1" applyAlignment="1">
      <alignment horizontal="center"/>
    </xf>
    <xf numFmtId="0" fontId="2" fillId="0" borderId="2" xfId="1" applyFont="1" applyBorder="1"/>
    <xf numFmtId="0" fontId="2" fillId="0" borderId="7" xfId="1" applyFont="1" applyBorder="1"/>
    <xf numFmtId="0" fontId="2" fillId="0" borderId="8" xfId="1" applyFont="1" applyBorder="1"/>
    <xf numFmtId="0" fontId="1" fillId="0" borderId="23" xfId="1" applyBorder="1" applyAlignment="1">
      <alignment horizontal="left"/>
    </xf>
    <xf numFmtId="0" fontId="1" fillId="0" borderId="0" xfId="1" applyBorder="1" applyAlignment="1">
      <alignment horizontal="left"/>
    </xf>
    <xf numFmtId="0" fontId="1" fillId="0" borderId="24" xfId="1" applyBorder="1" applyAlignment="1">
      <alignment horizontal="left"/>
    </xf>
    <xf numFmtId="0" fontId="1" fillId="0" borderId="25" xfId="1" applyBorder="1" applyAlignment="1">
      <alignment horizontal="left"/>
    </xf>
    <xf numFmtId="0" fontId="1" fillId="0" borderId="26" xfId="1" applyBorder="1" applyAlignment="1">
      <alignment horizontal="left"/>
    </xf>
    <xf numFmtId="0" fontId="1" fillId="0" borderId="27" xfId="1" applyBorder="1" applyAlignment="1">
      <alignment horizontal="left"/>
    </xf>
    <xf numFmtId="0" fontId="2" fillId="0" borderId="0" xfId="1" applyFont="1" applyBorder="1" applyAlignment="1">
      <alignment horizontal="left"/>
    </xf>
    <xf numFmtId="0" fontId="2" fillId="0" borderId="14" xfId="1" applyFont="1" applyBorder="1" applyAlignment="1">
      <alignment horizontal="left"/>
    </xf>
    <xf numFmtId="0" fontId="1" fillId="0" borderId="16" xfId="1" applyFont="1" applyBorder="1" applyAlignment="1">
      <alignment horizontal="center"/>
    </xf>
    <xf numFmtId="0" fontId="2" fillId="0" borderId="20" xfId="1" applyFont="1" applyBorder="1" applyAlignment="1">
      <alignment horizontal="left"/>
    </xf>
    <xf numFmtId="0" fontId="1" fillId="0" borderId="22" xfId="1" applyFont="1" applyBorder="1" applyAlignment="1">
      <alignment horizontal="center"/>
    </xf>
    <xf numFmtId="0" fontId="2" fillId="0" borderId="2" xfId="1" applyFont="1" applyBorder="1" applyAlignment="1">
      <alignment horizontal="left"/>
    </xf>
    <xf numFmtId="0" fontId="2" fillId="0" borderId="7" xfId="1" applyFont="1" applyBorder="1" applyAlignment="1">
      <alignment horizontal="left"/>
    </xf>
    <xf numFmtId="0" fontId="2" fillId="0" borderId="1" xfId="1" applyFont="1" applyFill="1" applyBorder="1" applyAlignment="1">
      <alignment horizontal="left"/>
    </xf>
    <xf numFmtId="0" fontId="1" fillId="0" borderId="23" xfId="1" applyBorder="1" applyAlignment="1">
      <alignment horizontal="center"/>
    </xf>
    <xf numFmtId="0" fontId="1" fillId="0" borderId="25" xfId="1" applyBorder="1" applyAlignment="1">
      <alignment horizontal="center"/>
    </xf>
    <xf numFmtId="0" fontId="1" fillId="0" borderId="26" xfId="1" applyFont="1" applyBorder="1" applyAlignment="1">
      <alignment horizontal="left"/>
    </xf>
    <xf numFmtId="0" fontId="1" fillId="0" borderId="27" xfId="1" applyFont="1" applyBorder="1" applyAlignment="1">
      <alignment horizontal="left"/>
    </xf>
    <xf numFmtId="165" fontId="1" fillId="0" borderId="0" xfId="1" applyNumberFormat="1"/>
    <xf numFmtId="166" fontId="1" fillId="0" borderId="0" xfId="1" applyNumberFormat="1" applyAlignment="1">
      <alignment horizontal="center"/>
    </xf>
    <xf numFmtId="0" fontId="1" fillId="0" borderId="0" xfId="1" applyNumberFormat="1"/>
    <xf numFmtId="0" fontId="1" fillId="0" borderId="1" xfId="1" applyBorder="1" applyAlignment="1">
      <alignment horizontal="left"/>
    </xf>
    <xf numFmtId="0" fontId="1" fillId="0" borderId="1" xfId="1" applyFont="1" applyBorder="1" applyAlignment="1">
      <alignment horizontal="left"/>
    </xf>
    <xf numFmtId="19" fontId="1" fillId="0" borderId="0" xfId="1" applyNumberFormat="1"/>
    <xf numFmtId="0" fontId="0" fillId="0" borderId="0" xfId="0" applyAlignment="1"/>
    <xf numFmtId="0" fontId="11" fillId="0" borderId="0" xfId="0" applyFont="1" applyAlignment="1"/>
    <xf numFmtId="0" fontId="2" fillId="0" borderId="18" xfId="1" applyFont="1" applyBorder="1"/>
    <xf numFmtId="0" fontId="1" fillId="0" borderId="18" xfId="1" applyBorder="1"/>
    <xf numFmtId="0" fontId="0" fillId="0" borderId="0" xfId="0" applyAlignment="1">
      <alignment horizontal="left" vertical="center" wrapText="1"/>
    </xf>
    <xf numFmtId="0" fontId="0" fillId="0" borderId="0" xfId="0" applyAlignment="1">
      <alignment wrapText="1"/>
    </xf>
    <xf numFmtId="0" fontId="11" fillId="0" borderId="0" xfId="0" applyFont="1"/>
    <xf numFmtId="0" fontId="12" fillId="0" borderId="0" xfId="0" applyFont="1"/>
    <xf numFmtId="0" fontId="13" fillId="0" borderId="0" xfId="1" applyFont="1"/>
    <xf numFmtId="0" fontId="14" fillId="0" borderId="0" xfId="2" applyFont="1" applyAlignment="1" applyProtection="1">
      <alignment horizontal="right" vertical="center" wrapText="1"/>
    </xf>
    <xf numFmtId="0" fontId="11" fillId="0" borderId="0" xfId="0" applyFont="1" applyAlignment="1">
      <alignment horizontal="left" vertical="center" wrapText="1"/>
    </xf>
    <xf numFmtId="0" fontId="11" fillId="0" borderId="0" xfId="0" applyFont="1" applyAlignment="1">
      <alignment horizontal="left"/>
    </xf>
    <xf numFmtId="0" fontId="14" fillId="0" borderId="0" xfId="2" applyFont="1" applyAlignment="1" applyProtection="1">
      <alignment horizontal="right" wrapText="1"/>
    </xf>
    <xf numFmtId="0" fontId="3" fillId="0" borderId="28" xfId="2" applyBorder="1" applyAlignment="1" applyProtection="1">
      <alignment horizontal="center"/>
    </xf>
    <xf numFmtId="0" fontId="1" fillId="2" borderId="28" xfId="1" applyFill="1" applyBorder="1" applyAlignment="1">
      <alignment horizontal="center"/>
    </xf>
    <xf numFmtId="0" fontId="1" fillId="2" borderId="25" xfId="1" applyFill="1" applyBorder="1"/>
    <xf numFmtId="0" fontId="16" fillId="4" borderId="18" xfId="0" applyFont="1" applyFill="1" applyBorder="1" applyAlignment="1">
      <alignment horizontal="center"/>
    </xf>
    <xf numFmtId="0" fontId="16" fillId="6" borderId="0" xfId="0" applyFont="1" applyFill="1" applyBorder="1"/>
    <xf numFmtId="0" fontId="2" fillId="0" borderId="32" xfId="1" applyFont="1" applyBorder="1"/>
    <xf numFmtId="0" fontId="1" fillId="0" borderId="33" xfId="1" applyBorder="1"/>
    <xf numFmtId="0" fontId="1" fillId="0" borderId="30" xfId="1" applyBorder="1"/>
    <xf numFmtId="0" fontId="1" fillId="0" borderId="34" xfId="1" applyBorder="1"/>
    <xf numFmtId="0" fontId="0" fillId="0" borderId="18" xfId="0" applyBorder="1"/>
    <xf numFmtId="15" fontId="0" fillId="0" borderId="18" xfId="0" applyNumberFormat="1" applyBorder="1"/>
    <xf numFmtId="0" fontId="0" fillId="0" borderId="18" xfId="0" applyBorder="1" applyAlignment="1">
      <alignment horizontal="center"/>
    </xf>
    <xf numFmtId="0" fontId="17" fillId="7" borderId="0" xfId="0" applyFont="1" applyFill="1" applyBorder="1" applyAlignment="1">
      <alignment horizontal="left" vertical="center" wrapText="1" indent="1"/>
    </xf>
    <xf numFmtId="0" fontId="18" fillId="0" borderId="18" xfId="0" applyFont="1" applyBorder="1" applyAlignment="1">
      <alignment horizontal="center" vertical="center" wrapText="1"/>
    </xf>
    <xf numFmtId="0" fontId="18" fillId="0" borderId="0" xfId="0" applyFont="1" applyBorder="1" applyAlignment="1">
      <alignment horizontal="center" vertical="center" wrapText="1"/>
    </xf>
    <xf numFmtId="0" fontId="0" fillId="0" borderId="0" xfId="0" applyAlignment="1">
      <alignment horizontal="center"/>
    </xf>
    <xf numFmtId="0" fontId="0" fillId="8" borderId="18" xfId="3" applyFont="1" applyBorder="1" applyAlignment="1">
      <alignment horizontal="center"/>
    </xf>
    <xf numFmtId="0" fontId="0" fillId="8" borderId="18" xfId="3" applyFont="1" applyBorder="1" applyAlignment="1">
      <alignment horizontal="center" wrapText="1"/>
    </xf>
    <xf numFmtId="0" fontId="20" fillId="9" borderId="18" xfId="4" applyFont="1" applyBorder="1" applyAlignment="1">
      <alignment horizontal="center"/>
    </xf>
    <xf numFmtId="0" fontId="21" fillId="9" borderId="18" xfId="4" applyFont="1" applyBorder="1" applyAlignment="1">
      <alignment horizontal="center"/>
    </xf>
    <xf numFmtId="0" fontId="2" fillId="0" borderId="0" xfId="1" applyFont="1" applyAlignment="1">
      <alignment horizontal="left"/>
    </xf>
    <xf numFmtId="0" fontId="1" fillId="10" borderId="0" xfId="1" applyFill="1"/>
    <xf numFmtId="0" fontId="2" fillId="10" borderId="0" xfId="1" applyFont="1" applyFill="1" applyAlignment="1">
      <alignment horizontal="center"/>
    </xf>
    <xf numFmtId="0" fontId="1" fillId="10" borderId="2" xfId="1" applyFill="1" applyBorder="1" applyAlignment="1">
      <alignment horizontal="center"/>
    </xf>
    <xf numFmtId="0" fontId="2" fillId="10" borderId="8" xfId="1" applyFont="1" applyFill="1" applyBorder="1" applyAlignment="1">
      <alignment horizontal="center"/>
    </xf>
    <xf numFmtId="0" fontId="1" fillId="10" borderId="16" xfId="1" applyFill="1" applyBorder="1" applyAlignment="1">
      <alignment horizontal="center"/>
    </xf>
    <xf numFmtId="0" fontId="1" fillId="10" borderId="3" xfId="1" applyFill="1" applyBorder="1"/>
    <xf numFmtId="0" fontId="1" fillId="10" borderId="24" xfId="1" applyFill="1" applyBorder="1" applyAlignment="1">
      <alignment horizontal="left"/>
    </xf>
    <xf numFmtId="2" fontId="1" fillId="10" borderId="0" xfId="1" applyNumberFormat="1" applyFill="1" applyAlignment="1">
      <alignment horizontal="center"/>
    </xf>
    <xf numFmtId="166" fontId="1" fillId="10" borderId="1" xfId="1" applyNumberFormat="1" applyFill="1" applyBorder="1" applyAlignment="1">
      <alignment horizontal="center"/>
    </xf>
    <xf numFmtId="0" fontId="1" fillId="10" borderId="18" xfId="1" applyFill="1" applyBorder="1"/>
    <xf numFmtId="0" fontId="0" fillId="0" borderId="0" xfId="0" applyAlignment="1">
      <alignment horizontal="left"/>
    </xf>
    <xf numFmtId="0" fontId="1" fillId="0" borderId="0" xfId="1" applyAlignment="1">
      <alignment horizontal="center"/>
    </xf>
    <xf numFmtId="0" fontId="1" fillId="0" borderId="2" xfId="1" applyFont="1" applyBorder="1" applyAlignment="1">
      <alignment horizontal="center"/>
    </xf>
    <xf numFmtId="0" fontId="1" fillId="0" borderId="7" xfId="1" applyBorder="1" applyAlignment="1">
      <alignment horizontal="center"/>
    </xf>
    <xf numFmtId="0" fontId="1" fillId="0" borderId="8" xfId="1" applyBorder="1" applyAlignment="1">
      <alignment horizontal="center"/>
    </xf>
    <xf numFmtId="14" fontId="1" fillId="0" borderId="2" xfId="1" applyNumberFormat="1" applyBorder="1" applyAlignment="1">
      <alignment horizontal="center"/>
    </xf>
    <xf numFmtId="0" fontId="1" fillId="0" borderId="2" xfId="1" applyBorder="1" applyAlignment="1">
      <alignment horizontal="center"/>
    </xf>
    <xf numFmtId="0" fontId="2" fillId="0" borderId="0" xfId="1" applyFont="1" applyAlignment="1">
      <alignment horizontal="right"/>
    </xf>
    <xf numFmtId="19" fontId="2" fillId="0" borderId="0" xfId="1" applyNumberFormat="1" applyFont="1" applyAlignment="1">
      <alignment horizontal="left"/>
    </xf>
    <xf numFmtId="0" fontId="2" fillId="0" borderId="0" xfId="1" applyFont="1" applyAlignment="1">
      <alignment horizontal="left"/>
    </xf>
    <xf numFmtId="0" fontId="0" fillId="0" borderId="0" xfId="0" applyAlignment="1">
      <alignment horizontal="left"/>
    </xf>
    <xf numFmtId="0" fontId="0" fillId="0" borderId="0" xfId="0" applyAlignment="1">
      <alignment horizontal="left" wrapText="1"/>
    </xf>
    <xf numFmtId="0" fontId="15" fillId="0" borderId="0" xfId="0" applyFont="1" applyAlignment="1">
      <alignment horizontal="left" vertical="center" wrapText="1"/>
    </xf>
    <xf numFmtId="0" fontId="15" fillId="0" borderId="0" xfId="0" applyFont="1" applyAlignment="1">
      <alignment horizontal="left" vertical="center"/>
    </xf>
    <xf numFmtId="0" fontId="16" fillId="5" borderId="29" xfId="0" applyFont="1" applyFill="1" applyBorder="1" applyAlignment="1">
      <alignment horizontal="center"/>
    </xf>
    <xf numFmtId="0" fontId="16" fillId="5" borderId="30" xfId="0" applyFont="1" applyFill="1" applyBorder="1" applyAlignment="1">
      <alignment horizontal="center"/>
    </xf>
    <xf numFmtId="0" fontId="16" fillId="5" borderId="31" xfId="0" applyFont="1" applyFill="1" applyBorder="1" applyAlignment="1">
      <alignment horizontal="center"/>
    </xf>
    <xf numFmtId="0" fontId="16" fillId="4" borderId="29" xfId="0" applyFont="1" applyFill="1" applyBorder="1" applyAlignment="1">
      <alignment horizontal="center"/>
    </xf>
    <xf numFmtId="0" fontId="16" fillId="4" borderId="30" xfId="0" applyFont="1" applyFill="1" applyBorder="1" applyAlignment="1">
      <alignment horizontal="center"/>
    </xf>
    <xf numFmtId="0" fontId="16" fillId="4" borderId="31" xfId="0" applyFont="1" applyFill="1" applyBorder="1" applyAlignment="1">
      <alignment horizontal="center"/>
    </xf>
    <xf numFmtId="0" fontId="0" fillId="0" borderId="0" xfId="0" pivotButton="1"/>
    <xf numFmtId="0" fontId="0" fillId="0" borderId="0" xfId="0" applyNumberFormat="1"/>
    <xf numFmtId="15" fontId="0" fillId="0" borderId="0" xfId="0" applyNumberFormat="1"/>
  </cellXfs>
  <cellStyles count="5">
    <cellStyle name="GreyOrWhite" xfId="3"/>
    <cellStyle name="Hyperlink" xfId="2" builtinId="8"/>
    <cellStyle name="Normal" xfId="0" builtinId="0"/>
    <cellStyle name="Normal 2" xfId="1"/>
    <cellStyle name="Yellow" xfId="4"/>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285750</xdr:colOff>
          <xdr:row>3</xdr:row>
          <xdr:rowOff>161925</xdr:rowOff>
        </xdr:from>
        <xdr:to>
          <xdr:col>11</xdr:col>
          <xdr:colOff>590550</xdr:colOff>
          <xdr:row>5</xdr:row>
          <xdr:rowOff>95250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19</xdr:row>
          <xdr:rowOff>133350</xdr:rowOff>
        </xdr:from>
        <xdr:to>
          <xdr:col>16</xdr:col>
          <xdr:colOff>333375</xdr:colOff>
          <xdr:row>21</xdr:row>
          <xdr:rowOff>66675</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314325</xdr:colOff>
      <xdr:row>2</xdr:row>
      <xdr:rowOff>104775</xdr:rowOff>
    </xdr:from>
    <xdr:to>
      <xdr:col>10</xdr:col>
      <xdr:colOff>257175</xdr:colOff>
      <xdr:row>4</xdr:row>
      <xdr:rowOff>76200</xdr:rowOff>
    </xdr:to>
    <xdr:pic>
      <xdr:nvPicPr>
        <xdr:cNvPr id="2" name="Picture 7">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81700" y="466725"/>
          <a:ext cx="1162050"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114300</xdr:rowOff>
        </xdr:from>
        <xdr:to>
          <xdr:col>4</xdr:col>
          <xdr:colOff>533400</xdr:colOff>
          <xdr:row>2</xdr:row>
          <xdr:rowOff>38100</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9525</xdr:colOff>
      <xdr:row>11</xdr:row>
      <xdr:rowOff>104775</xdr:rowOff>
    </xdr:from>
    <xdr:to>
      <xdr:col>5</xdr:col>
      <xdr:colOff>409575</xdr:colOff>
      <xdr:row>11</xdr:row>
      <xdr:rowOff>107783</xdr:rowOff>
    </xdr:to>
    <xdr:sp macro="" textlink="">
      <xdr:nvSpPr>
        <xdr:cNvPr id="3" name="Line 12">
          <a:extLst>
            <a:ext uri="{FF2B5EF4-FFF2-40B4-BE49-F238E27FC236}">
              <a16:creationId xmlns:a16="http://schemas.microsoft.com/office/drawing/2014/main" id="{00000000-0008-0000-1400-000003000000}"/>
            </a:ext>
          </a:extLst>
        </xdr:cNvPr>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9525</xdr:colOff>
      <xdr:row>14</xdr:row>
      <xdr:rowOff>104775</xdr:rowOff>
    </xdr:from>
    <xdr:to>
      <xdr:col>5</xdr:col>
      <xdr:colOff>409575</xdr:colOff>
      <xdr:row>14</xdr:row>
      <xdr:rowOff>107783</xdr:rowOff>
    </xdr:to>
    <xdr:sp macro="" textlink="">
      <xdr:nvSpPr>
        <xdr:cNvPr id="4" name="Line 12">
          <a:extLst>
            <a:ext uri="{FF2B5EF4-FFF2-40B4-BE49-F238E27FC236}">
              <a16:creationId xmlns:a16="http://schemas.microsoft.com/office/drawing/2014/main" id="{00000000-0008-0000-1400-000004000000}"/>
            </a:ext>
          </a:extLst>
        </xdr:cNvPr>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shitiz" refreshedDate="42964.738099074071" createdVersion="6" refreshedVersion="6" minRefreshableVersion="3" recordCount="26">
  <cacheSource type="worksheet">
    <worksheetSource ref="A6:D32" sheet="Question 11"/>
  </cacheSource>
  <cacheFields count="4">
    <cacheField name="EMPLOYEE_CODE" numFmtId="0">
      <sharedItems containsSemiMixedTypes="0" containsString="0" containsNumber="1" containsInteger="1" minValue="561803" maxValue="728129"/>
    </cacheField>
    <cacheField name="TITLE" numFmtId="0">
      <sharedItems/>
    </cacheField>
    <cacheField name="EMPLOYEE_NAME" numFmtId="0">
      <sharedItems/>
    </cacheField>
    <cacheField name="DESIGNATION" numFmtId="0">
      <sharedItems count="5">
        <s v="Sr Coding Analyst"/>
        <s v="Coding Analyst"/>
        <s v="Claim Associate"/>
        <s v="Sr Claim Associate"/>
        <s v="Subject Matter Exper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
  <r>
    <n v="565770"/>
    <s v="MR        "/>
    <s v="Shashank Shekhar Tiwari"/>
    <x v="0"/>
  </r>
  <r>
    <n v="589499"/>
    <s v="MR        "/>
    <s v="Dilber Singh"/>
    <x v="0"/>
  </r>
  <r>
    <n v="589502"/>
    <s v="MR        "/>
    <s v="Parveen Kumar"/>
    <x v="1"/>
  </r>
  <r>
    <n v="589952"/>
    <s v="MR        "/>
    <s v="Sunil Dutt"/>
    <x v="1"/>
  </r>
  <r>
    <n v="612379"/>
    <s v="MR        "/>
    <s v="Ashok Kumar"/>
    <x v="1"/>
  </r>
  <r>
    <n v="617446"/>
    <s v="MS        "/>
    <s v="Uma Sundaram"/>
    <x v="2"/>
  </r>
  <r>
    <n v="639866"/>
    <s v="MR        "/>
    <s v="Ravindra Pal Singh"/>
    <x v="0"/>
  </r>
  <r>
    <n v="644931"/>
    <s v="MR        "/>
    <s v="Ashish Kumar Singh"/>
    <x v="2"/>
  </r>
  <r>
    <n v="644932"/>
    <s v="MR        "/>
    <s v="Ankit Khanna"/>
    <x v="2"/>
  </r>
  <r>
    <n v="644933"/>
    <s v="MR        "/>
    <s v="Siraj Ahmad"/>
    <x v="2"/>
  </r>
  <r>
    <n v="644934"/>
    <s v="MR        "/>
    <s v="Dinesh Verma"/>
    <x v="2"/>
  </r>
  <r>
    <n v="644935"/>
    <s v="MR        "/>
    <s v="Narendra Singh"/>
    <x v="2"/>
  </r>
  <r>
    <n v="644936"/>
    <s v="MR        "/>
    <s v="Amiya Singh"/>
    <x v="2"/>
  </r>
  <r>
    <n v="644937"/>
    <s v="MR        "/>
    <s v="Manish Sharma"/>
    <x v="2"/>
  </r>
  <r>
    <n v="645124"/>
    <s v="MR        "/>
    <s v="Mohd Furqan"/>
    <x v="2"/>
  </r>
  <r>
    <n v="645125"/>
    <s v="MR        "/>
    <s v="Bikash Chandra Sahu"/>
    <x v="2"/>
  </r>
  <r>
    <n v="728129"/>
    <s v="NULL"/>
    <s v="Phani Jakka"/>
    <x v="3"/>
  </r>
  <r>
    <n v="728107"/>
    <s v="NULL"/>
    <s v="Veerendra Rathore"/>
    <x v="3"/>
  </r>
  <r>
    <n v="695935"/>
    <s v="MS        "/>
    <s v="Sushma Gopala"/>
    <x v="3"/>
  </r>
  <r>
    <n v="685250"/>
    <s v="MR        "/>
    <s v="Chandra Sekhar"/>
    <x v="3"/>
  </r>
  <r>
    <n v="685246"/>
    <s v="MR        "/>
    <s v="Deepayan Mondal"/>
    <x v="3"/>
  </r>
  <r>
    <n v="645280"/>
    <s v="MR        "/>
    <s v="Aman Jain"/>
    <x v="4"/>
  </r>
  <r>
    <n v="620404"/>
    <s v="MR        "/>
    <s v="Ramkrushna Barik"/>
    <x v="4"/>
  </r>
  <r>
    <n v="565761"/>
    <s v="MR        "/>
    <s v="Sakhamuri Seenaiah"/>
    <x v="4"/>
  </r>
  <r>
    <n v="561808"/>
    <s v="MR        "/>
    <s v="Abhay Kumar Jain"/>
    <x v="4"/>
  </r>
  <r>
    <n v="561803"/>
    <s v="MR        "/>
    <s v="Krishna Kovelakar"/>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13" firstHeaderRow="1" firstDataRow="1" firstDataCol="1"/>
  <pivotFields count="4">
    <pivotField subtotalTop="0" showAll="0"/>
    <pivotField subtotalTop="0" showAll="0"/>
    <pivotField dataField="1" subtotalTop="0" showAll="0"/>
    <pivotField axis="axisRow" subtotalTop="0" showAll="0">
      <items count="6">
        <item x="2"/>
        <item x="1"/>
        <item x="3"/>
        <item x="0"/>
        <item x="4"/>
        <item t="default"/>
      </items>
    </pivotField>
  </pivotFields>
  <rowFields count="1">
    <field x="3"/>
  </rowFields>
  <rowItems count="6">
    <i>
      <x/>
    </i>
    <i>
      <x v="1"/>
    </i>
    <i>
      <x v="2"/>
    </i>
    <i>
      <x v="3"/>
    </i>
    <i>
      <x v="4"/>
    </i>
    <i t="grand">
      <x/>
    </i>
  </rowItems>
  <colItems count="1">
    <i/>
  </colItems>
  <dataFields count="1">
    <dataField name="Count of EMPLOYEE_NAME"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hyperlink" Target="javascript:%20void%200;" TargetMode="External"/><Relationship Id="rId1" Type="http://schemas.openxmlformats.org/officeDocument/2006/relationships/hyperlink" Target="javascript:%20void%200;"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O32"/>
  <sheetViews>
    <sheetView showGridLines="0" showRowColHeaders="0" workbookViewId="0">
      <selection activeCell="I23" sqref="I23"/>
    </sheetView>
  </sheetViews>
  <sheetFormatPr defaultColWidth="9.140625" defaultRowHeight="12.75" x14ac:dyDescent="0.2"/>
  <cols>
    <col min="1" max="1" width="9.140625" style="1"/>
    <col min="2" max="2" width="10.140625" style="1" bestFit="1" customWidth="1"/>
    <col min="3" max="5" width="9.140625" style="1"/>
    <col min="6" max="6" width="8.5703125" style="1" customWidth="1"/>
    <col min="7" max="12" width="9.140625" style="1"/>
    <col min="13" max="13" width="11.42578125" style="1" customWidth="1"/>
    <col min="14" max="14" width="10.5703125" style="1" customWidth="1"/>
    <col min="15" max="15" width="9.42578125" style="1" customWidth="1"/>
    <col min="16" max="16384" width="9.140625" style="1"/>
  </cols>
  <sheetData>
    <row r="1" spans="2:15" x14ac:dyDescent="0.2">
      <c r="H1" s="137" t="s">
        <v>169</v>
      </c>
      <c r="I1" s="137"/>
      <c r="J1" s="137"/>
      <c r="K1" s="138"/>
      <c r="L1" s="139"/>
      <c r="M1" s="139"/>
    </row>
    <row r="2" spans="2:15" x14ac:dyDescent="0.2">
      <c r="H2" s="137" t="s">
        <v>170</v>
      </c>
      <c r="I2" s="137"/>
      <c r="J2" s="137"/>
      <c r="K2" s="138"/>
      <c r="L2" s="139"/>
      <c r="M2" s="139"/>
    </row>
    <row r="3" spans="2:15" x14ac:dyDescent="0.2">
      <c r="H3" s="137"/>
      <c r="I3" s="137"/>
      <c r="J3" s="137"/>
      <c r="K3" s="138"/>
      <c r="L3" s="139"/>
      <c r="M3" s="139"/>
    </row>
    <row r="4" spans="2:15" ht="13.5" thickBot="1" x14ac:dyDescent="0.25">
      <c r="D4" s="131" t="s">
        <v>168</v>
      </c>
      <c r="E4" s="131"/>
      <c r="F4" s="131"/>
      <c r="M4" s="1" t="s">
        <v>0</v>
      </c>
    </row>
    <row r="5" spans="2:15" ht="13.5" thickBot="1" x14ac:dyDescent="0.25">
      <c r="B5" s="1" t="s">
        <v>1</v>
      </c>
      <c r="M5" s="2" t="s">
        <v>2</v>
      </c>
      <c r="N5" s="3" t="s">
        <v>3</v>
      </c>
      <c r="O5" s="4" t="s">
        <v>4</v>
      </c>
    </row>
    <row r="6" spans="2:15" x14ac:dyDescent="0.2">
      <c r="B6" s="1" t="s">
        <v>5</v>
      </c>
      <c r="M6" s="5">
        <v>1</v>
      </c>
      <c r="N6" s="6">
        <v>2</v>
      </c>
      <c r="O6" s="7"/>
    </row>
    <row r="7" spans="2:15" x14ac:dyDescent="0.2">
      <c r="B7" s="1" t="s">
        <v>6</v>
      </c>
      <c r="M7" s="8">
        <v>2</v>
      </c>
      <c r="N7" s="9">
        <v>2</v>
      </c>
      <c r="O7" s="10"/>
    </row>
    <row r="8" spans="2:15" x14ac:dyDescent="0.2">
      <c r="B8" s="1" t="s">
        <v>7</v>
      </c>
      <c r="M8" s="8">
        <v>3</v>
      </c>
      <c r="N8" s="9">
        <v>4</v>
      </c>
      <c r="O8" s="10"/>
    </row>
    <row r="9" spans="2:15" x14ac:dyDescent="0.2">
      <c r="B9" s="1" t="s">
        <v>8</v>
      </c>
      <c r="M9" s="8">
        <v>4</v>
      </c>
      <c r="N9" s="9">
        <v>2</v>
      </c>
      <c r="O9" s="10"/>
    </row>
    <row r="10" spans="2:15" x14ac:dyDescent="0.2">
      <c r="M10" s="8">
        <v>5</v>
      </c>
      <c r="N10" s="9">
        <v>2</v>
      </c>
      <c r="O10" s="10"/>
    </row>
    <row r="11" spans="2:15" x14ac:dyDescent="0.2">
      <c r="M11" s="8">
        <v>6</v>
      </c>
      <c r="N11" s="9">
        <v>3</v>
      </c>
      <c r="O11" s="10"/>
    </row>
    <row r="12" spans="2:15" ht="13.5" thickBot="1" x14ac:dyDescent="0.25">
      <c r="M12" s="8">
        <v>7</v>
      </c>
      <c r="N12" s="9">
        <v>4</v>
      </c>
      <c r="O12" s="10"/>
    </row>
    <row r="13" spans="2:15" ht="13.5" thickBot="1" x14ac:dyDescent="0.25">
      <c r="B13" s="11" t="s">
        <v>9</v>
      </c>
      <c r="C13" s="132"/>
      <c r="D13" s="133"/>
      <c r="E13" s="134"/>
      <c r="M13" s="8">
        <v>8</v>
      </c>
      <c r="N13" s="9">
        <v>3</v>
      </c>
      <c r="O13" s="10"/>
    </row>
    <row r="14" spans="2:15" ht="13.5" thickBot="1" x14ac:dyDescent="0.25">
      <c r="B14" s="11" t="s">
        <v>10</v>
      </c>
      <c r="C14" s="135"/>
      <c r="D14" s="133"/>
      <c r="E14" s="134"/>
      <c r="M14" s="8">
        <v>9</v>
      </c>
      <c r="N14" s="9">
        <v>2</v>
      </c>
      <c r="O14" s="10"/>
    </row>
    <row r="15" spans="2:15" ht="13.5" thickBot="1" x14ac:dyDescent="0.25">
      <c r="B15" s="11" t="s">
        <v>11</v>
      </c>
      <c r="C15" s="136"/>
      <c r="D15" s="133"/>
      <c r="E15" s="134"/>
      <c r="M15" s="8">
        <v>10</v>
      </c>
      <c r="N15" s="9">
        <v>3</v>
      </c>
      <c r="O15" s="10"/>
    </row>
    <row r="16" spans="2:15" x14ac:dyDescent="0.2">
      <c r="M16" s="8">
        <v>11</v>
      </c>
      <c r="N16" s="9">
        <v>5</v>
      </c>
      <c r="O16" s="10"/>
    </row>
    <row r="17" spans="2:15" x14ac:dyDescent="0.2">
      <c r="M17" s="8">
        <v>12</v>
      </c>
      <c r="N17" s="9">
        <v>5</v>
      </c>
      <c r="O17" s="10"/>
    </row>
    <row r="18" spans="2:15" x14ac:dyDescent="0.2">
      <c r="B18" s="12" t="s">
        <v>12</v>
      </c>
      <c r="M18" s="8">
        <v>13</v>
      </c>
      <c r="N18" s="9">
        <v>4</v>
      </c>
      <c r="O18" s="10"/>
    </row>
    <row r="19" spans="2:15" x14ac:dyDescent="0.2">
      <c r="C19" s="13">
        <v>1</v>
      </c>
      <c r="D19" s="1" t="s">
        <v>221</v>
      </c>
      <c r="M19" s="8">
        <v>14</v>
      </c>
      <c r="N19" s="9">
        <v>5</v>
      </c>
      <c r="O19" s="10"/>
    </row>
    <row r="20" spans="2:15" ht="13.5" thickBot="1" x14ac:dyDescent="0.25">
      <c r="C20" s="13">
        <v>2</v>
      </c>
      <c r="D20" s="1" t="s">
        <v>13</v>
      </c>
      <c r="M20" s="14">
        <v>15</v>
      </c>
      <c r="N20" s="15">
        <v>4</v>
      </c>
      <c r="O20" s="16"/>
    </row>
    <row r="21" spans="2:15" ht="13.5" thickBot="1" x14ac:dyDescent="0.25">
      <c r="C21" s="13">
        <v>3</v>
      </c>
      <c r="D21" s="1" t="s">
        <v>14</v>
      </c>
      <c r="M21" s="99">
        <v>16</v>
      </c>
      <c r="N21" s="100">
        <v>1</v>
      </c>
      <c r="O21" s="101"/>
    </row>
    <row r="22" spans="2:15" ht="13.5" thickBot="1" x14ac:dyDescent="0.25">
      <c r="C22" s="13">
        <v>4</v>
      </c>
      <c r="D22" s="1" t="s">
        <v>16</v>
      </c>
      <c r="M22" s="99">
        <v>17</v>
      </c>
      <c r="N22" s="100">
        <v>1</v>
      </c>
      <c r="O22" s="101"/>
    </row>
    <row r="23" spans="2:15" ht="13.5" thickBot="1" x14ac:dyDescent="0.25">
      <c r="C23" s="13">
        <v>5</v>
      </c>
      <c r="D23" s="1" t="s">
        <v>17</v>
      </c>
      <c r="M23" s="99">
        <v>18</v>
      </c>
      <c r="N23" s="100">
        <v>1</v>
      </c>
      <c r="O23" s="101"/>
    </row>
    <row r="24" spans="2:15" ht="13.5" thickBot="1" x14ac:dyDescent="0.25">
      <c r="C24" s="13"/>
      <c r="M24" s="99">
        <v>19</v>
      </c>
      <c r="N24" s="100">
        <v>1</v>
      </c>
      <c r="O24" s="101"/>
    </row>
    <row r="25" spans="2:15" ht="13.5" thickBot="1" x14ac:dyDescent="0.25">
      <c r="C25" s="13"/>
      <c r="M25" s="99">
        <v>20</v>
      </c>
      <c r="N25" s="100">
        <v>1</v>
      </c>
      <c r="O25" s="101"/>
    </row>
    <row r="26" spans="2:15" ht="13.5" thickBot="1" x14ac:dyDescent="0.25">
      <c r="M26" s="99">
        <v>21</v>
      </c>
      <c r="N26" s="100">
        <v>1</v>
      </c>
      <c r="O26" s="101"/>
    </row>
    <row r="27" spans="2:15" ht="13.5" thickBot="1" x14ac:dyDescent="0.25">
      <c r="M27" s="99">
        <v>22</v>
      </c>
      <c r="N27" s="100">
        <v>5</v>
      </c>
      <c r="O27" s="101"/>
    </row>
    <row r="28" spans="2:15" ht="13.5" thickBot="1" x14ac:dyDescent="0.25">
      <c r="M28" s="99">
        <v>23</v>
      </c>
      <c r="N28" s="100">
        <v>2</v>
      </c>
      <c r="O28" s="101"/>
    </row>
    <row r="29" spans="2:15" ht="13.5" thickBot="1" x14ac:dyDescent="0.25">
      <c r="M29" s="99">
        <v>24</v>
      </c>
      <c r="N29" s="100">
        <v>2</v>
      </c>
      <c r="O29" s="101"/>
    </row>
    <row r="30" spans="2:15" ht="13.5" thickBot="1" x14ac:dyDescent="0.25">
      <c r="M30" s="11" t="s">
        <v>15</v>
      </c>
      <c r="N30" s="2">
        <f>SUM(N6:N29)</f>
        <v>65</v>
      </c>
      <c r="O30" s="2"/>
    </row>
    <row r="32" spans="2:15" x14ac:dyDescent="0.2">
      <c r="H32" s="18"/>
    </row>
  </sheetData>
  <sheetProtection formatCells="0" formatColumns="0" formatRows="0" sort="0" autoFilter="0" pivotTables="0"/>
  <mergeCells count="10">
    <mergeCell ref="K1:M1"/>
    <mergeCell ref="H2:J2"/>
    <mergeCell ref="K2:M2"/>
    <mergeCell ref="H3:J3"/>
    <mergeCell ref="K3:M3"/>
    <mergeCell ref="D4:F4"/>
    <mergeCell ref="C13:E13"/>
    <mergeCell ref="C14:E14"/>
    <mergeCell ref="C15:E15"/>
    <mergeCell ref="H1:J1"/>
  </mergeCells>
  <hyperlinks>
    <hyperlink ref="M6" location="'Question 1'!A1" display="'Question 1'!A1"/>
    <hyperlink ref="M7" location="'Question 2'!A1" display="'Question 2'!A1"/>
    <hyperlink ref="M8" location="'Question 3'!A1" display="'Question 3'!A1"/>
    <hyperlink ref="M9" location="'Question 4'!A1" display="'Question 4'!A1"/>
    <hyperlink ref="M10" location="'Question 5'!A1" display="'Question 5'!A1"/>
    <hyperlink ref="M11" location="'Question 6'!A1" display="'Question 6'!A1"/>
    <hyperlink ref="M12" location="'Question 7'!A1" display="'Question 7'!A1"/>
    <hyperlink ref="M13" location="'Question 8'!A1" display="'Question 8'!A1"/>
    <hyperlink ref="M14" location="'Question 9'!A1" display="'Question 9'!A1"/>
    <hyperlink ref="M15" location="'Question 10'!A1" display="'Question 10'!A1"/>
    <hyperlink ref="M16" location="'Question 11'!A1" display="'Question 11'!A1"/>
    <hyperlink ref="M17" location="'Question 12'!A1" display="'Question 12'!A1"/>
    <hyperlink ref="M18" location="'Question 13'!A1" display="'Question 13'!A1"/>
    <hyperlink ref="M19" location="'Question 14'!A1" display="'Question 14'!A1"/>
    <hyperlink ref="M20" location="'Question 15'!A1" display="'Question 15'!A1"/>
    <hyperlink ref="M21" location="'Question 16'!A1" display="'Question 16'!A1"/>
    <hyperlink ref="M22" location="'Question 17'!A1" display="'Question 17'!A1"/>
    <hyperlink ref="M23" location="'Question 18'!A1" display="'Question 18'!A1"/>
    <hyperlink ref="M24" location="'Question 19'!A1" display="'Question 19'!A1"/>
    <hyperlink ref="M25" location="'Question 20'!A1" display="'Question 20'!A1"/>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285750</xdr:colOff>
                <xdr:row>3</xdr:row>
                <xdr:rowOff>161925</xdr:rowOff>
              </from>
              <to>
                <xdr:col>11</xdr:col>
                <xdr:colOff>590550</xdr:colOff>
                <xdr:row>5</xdr:row>
                <xdr:rowOff>95250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15</xdr:col>
                <xdr:colOff>28575</xdr:colOff>
                <xdr:row>19</xdr:row>
                <xdr:rowOff>133350</xdr:rowOff>
              </from>
              <to>
                <xdr:col>16</xdr:col>
                <xdr:colOff>333375</xdr:colOff>
                <xdr:row>21</xdr:row>
                <xdr:rowOff>66675</xdr:rowOff>
              </to>
            </anchor>
          </controlPr>
        </control>
      </mc:Choice>
      <mc:Fallback>
        <control shapeId="1026"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2"/>
  <sheetViews>
    <sheetView showGridLines="0" workbookViewId="0">
      <selection activeCell="D5" sqref="D5:F5"/>
    </sheetView>
  </sheetViews>
  <sheetFormatPr defaultColWidth="9.140625" defaultRowHeight="12.75" x14ac:dyDescent="0.2"/>
  <cols>
    <col min="1" max="1" width="7.7109375" style="1" bestFit="1" customWidth="1"/>
    <col min="2" max="2" width="13.85546875" style="1" bestFit="1" customWidth="1"/>
    <col min="3" max="3" width="17.7109375" style="1" bestFit="1" customWidth="1"/>
    <col min="4" max="4" width="17.42578125" style="1" bestFit="1" customWidth="1"/>
    <col min="5" max="5" width="23" style="1" bestFit="1" customWidth="1"/>
    <col min="6" max="6" width="21.5703125" style="1" bestFit="1" customWidth="1"/>
    <col min="7" max="16384" width="9.140625" style="1"/>
  </cols>
  <sheetData>
    <row r="1" spans="1:6" ht="15.75" x14ac:dyDescent="0.25">
      <c r="A1" s="19" t="s">
        <v>18</v>
      </c>
      <c r="B1" s="20" t="s">
        <v>19</v>
      </c>
      <c r="C1" s="20"/>
    </row>
    <row r="3" spans="1:6" x14ac:dyDescent="0.2">
      <c r="A3" s="12" t="s">
        <v>20</v>
      </c>
    </row>
    <row r="4" spans="1:6" ht="13.5" thickBot="1" x14ac:dyDescent="0.25"/>
    <row r="5" spans="1:6" ht="13.5" thickBot="1" x14ac:dyDescent="0.25">
      <c r="D5" s="21" t="s">
        <v>21</v>
      </c>
      <c r="E5" s="22" t="s">
        <v>22</v>
      </c>
      <c r="F5" s="23" t="s">
        <v>23</v>
      </c>
    </row>
    <row r="6" spans="1:6" x14ac:dyDescent="0.2">
      <c r="D6" s="24">
        <v>726985</v>
      </c>
      <c r="E6" s="25" t="s">
        <v>24</v>
      </c>
      <c r="F6" s="26" t="s">
        <v>25</v>
      </c>
    </row>
    <row r="7" spans="1:6" x14ac:dyDescent="0.2">
      <c r="D7" s="27">
        <v>725001</v>
      </c>
      <c r="E7" s="28" t="s">
        <v>26</v>
      </c>
      <c r="F7" s="29" t="s">
        <v>25</v>
      </c>
    </row>
    <row r="8" spans="1:6" x14ac:dyDescent="0.2">
      <c r="D8" s="27">
        <v>724629</v>
      </c>
      <c r="E8" s="28" t="s">
        <v>27</v>
      </c>
      <c r="F8" s="29" t="s">
        <v>25</v>
      </c>
    </row>
    <row r="9" spans="1:6" x14ac:dyDescent="0.2">
      <c r="D9" s="27">
        <v>695548</v>
      </c>
      <c r="E9" s="28" t="s">
        <v>28</v>
      </c>
      <c r="F9" s="29" t="s">
        <v>25</v>
      </c>
    </row>
    <row r="10" spans="1:6" x14ac:dyDescent="0.2">
      <c r="D10" s="27">
        <v>694402</v>
      </c>
      <c r="E10" s="28" t="s">
        <v>29</v>
      </c>
      <c r="F10" s="29" t="s">
        <v>25</v>
      </c>
    </row>
    <row r="11" spans="1:6" x14ac:dyDescent="0.2">
      <c r="D11" s="27">
        <v>694104</v>
      </c>
      <c r="E11" s="28" t="s">
        <v>30</v>
      </c>
      <c r="F11" s="29" t="s">
        <v>25</v>
      </c>
    </row>
    <row r="12" spans="1:6" x14ac:dyDescent="0.2">
      <c r="D12" s="27">
        <v>691752</v>
      </c>
      <c r="E12" s="28" t="s">
        <v>31</v>
      </c>
      <c r="F12" s="29" t="s">
        <v>25</v>
      </c>
    </row>
    <row r="13" spans="1:6" x14ac:dyDescent="0.2">
      <c r="D13" s="27">
        <v>690856</v>
      </c>
      <c r="E13" s="28" t="s">
        <v>32</v>
      </c>
      <c r="F13" s="29" t="s">
        <v>25</v>
      </c>
    </row>
    <row r="14" spans="1:6" x14ac:dyDescent="0.2">
      <c r="D14" s="27">
        <v>675499</v>
      </c>
      <c r="E14" s="28" t="s">
        <v>33</v>
      </c>
      <c r="F14" s="29" t="s">
        <v>34</v>
      </c>
    </row>
    <row r="15" spans="1:6" x14ac:dyDescent="0.2">
      <c r="D15" s="27">
        <v>628598</v>
      </c>
      <c r="E15" s="28" t="s">
        <v>35</v>
      </c>
      <c r="F15" s="29" t="s">
        <v>36</v>
      </c>
    </row>
    <row r="16" spans="1:6" x14ac:dyDescent="0.2">
      <c r="D16" s="27">
        <v>615474</v>
      </c>
      <c r="E16" s="28" t="s">
        <v>37</v>
      </c>
      <c r="F16" s="29" t="s">
        <v>38</v>
      </c>
    </row>
    <row r="17" spans="4:6" x14ac:dyDescent="0.2">
      <c r="D17" s="27">
        <v>589499</v>
      </c>
      <c r="E17" s="28" t="s">
        <v>39</v>
      </c>
      <c r="F17" s="29" t="s">
        <v>40</v>
      </c>
    </row>
    <row r="18" spans="4:6" x14ac:dyDescent="0.2">
      <c r="D18" s="27">
        <v>561787</v>
      </c>
      <c r="E18" s="28" t="s">
        <v>41</v>
      </c>
      <c r="F18" s="29" t="s">
        <v>40</v>
      </c>
    </row>
    <row r="19" spans="4:6" ht="13.5" thickBot="1" x14ac:dyDescent="0.25">
      <c r="D19" s="30">
        <v>559963</v>
      </c>
      <c r="E19" s="31" t="s">
        <v>42</v>
      </c>
      <c r="F19" s="32" t="s">
        <v>40</v>
      </c>
    </row>
    <row r="22" spans="4:6" x14ac:dyDescent="0.2">
      <c r="D22" s="1" t="s">
        <v>222</v>
      </c>
    </row>
  </sheetData>
  <sortState ref="D6:F19">
    <sortCondition descending="1" ref="D6:D19"/>
    <sortCondition ref="F6:F19"/>
  </sortState>
  <hyperlinks>
    <hyperlink ref="B1" location="'Question 2'!A1" display="Next Question"/>
    <hyperlink ref="A1" location="'Question Paper for Excel'!A1" display="Home"/>
  </hyperlink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showGridLines="0" workbookViewId="0">
      <selection activeCell="G9" sqref="G9:G15"/>
    </sheetView>
  </sheetViews>
  <sheetFormatPr defaultColWidth="9.140625" defaultRowHeight="12.75" x14ac:dyDescent="0.2"/>
  <cols>
    <col min="1" max="1" width="9.5703125" style="1" bestFit="1" customWidth="1"/>
    <col min="2" max="2" width="13.85546875" style="1" bestFit="1" customWidth="1"/>
    <col min="3" max="3" width="17.7109375" style="1" bestFit="1" customWidth="1"/>
    <col min="4" max="4" width="17.42578125" style="1" bestFit="1" customWidth="1"/>
    <col min="5" max="5" width="23" style="1" bestFit="1" customWidth="1"/>
    <col min="6" max="6" width="18" style="1" customWidth="1"/>
    <col min="7" max="7" width="21.42578125" style="1" bestFit="1" customWidth="1"/>
    <col min="8" max="8" width="18" style="1" bestFit="1" customWidth="1"/>
    <col min="9" max="16384" width="9.140625" style="1"/>
  </cols>
  <sheetData>
    <row r="1" spans="1:7" ht="15.75" x14ac:dyDescent="0.25">
      <c r="A1" s="19" t="s">
        <v>18</v>
      </c>
      <c r="B1" s="20" t="s">
        <v>19</v>
      </c>
      <c r="C1" s="20" t="s">
        <v>43</v>
      </c>
    </row>
    <row r="4" spans="1:7" x14ac:dyDescent="0.2">
      <c r="A4" s="12" t="s">
        <v>44</v>
      </c>
      <c r="B4" s="12" t="s">
        <v>45</v>
      </c>
      <c r="G4" s="12"/>
    </row>
    <row r="5" spans="1:7" x14ac:dyDescent="0.2">
      <c r="B5" s="12" t="s">
        <v>183</v>
      </c>
    </row>
    <row r="8" spans="1:7" x14ac:dyDescent="0.2">
      <c r="D8" s="33" t="s">
        <v>21</v>
      </c>
      <c r="E8" s="33" t="s">
        <v>22</v>
      </c>
      <c r="F8" s="33" t="s">
        <v>23</v>
      </c>
      <c r="G8" s="119" t="s">
        <v>223</v>
      </c>
    </row>
    <row r="9" spans="1:7" x14ac:dyDescent="0.2">
      <c r="D9" s="34">
        <v>731501</v>
      </c>
      <c r="E9" s="13" t="s">
        <v>30</v>
      </c>
      <c r="F9" s="13" t="s">
        <v>40</v>
      </c>
      <c r="G9" s="120" t="str">
        <f>"000"&amp;D9</f>
        <v>000731501</v>
      </c>
    </row>
    <row r="10" spans="1:7" x14ac:dyDescent="0.2">
      <c r="D10" s="34">
        <v>731371</v>
      </c>
      <c r="E10" s="13" t="s">
        <v>28</v>
      </c>
      <c r="F10" s="13" t="s">
        <v>40</v>
      </c>
      <c r="G10" s="120" t="str">
        <f t="shared" ref="G10:G15" si="0">"000"&amp;D10</f>
        <v>000731371</v>
      </c>
    </row>
    <row r="11" spans="1:7" x14ac:dyDescent="0.2">
      <c r="D11" s="34">
        <v>731153</v>
      </c>
      <c r="E11" s="13" t="s">
        <v>32</v>
      </c>
      <c r="F11" s="13" t="s">
        <v>38</v>
      </c>
      <c r="G11" s="120" t="str">
        <f t="shared" si="0"/>
        <v>000731153</v>
      </c>
    </row>
    <row r="12" spans="1:7" x14ac:dyDescent="0.2">
      <c r="D12" s="34">
        <v>731021</v>
      </c>
      <c r="E12" s="13" t="s">
        <v>31</v>
      </c>
      <c r="F12" s="13" t="s">
        <v>34</v>
      </c>
      <c r="G12" s="120" t="str">
        <f t="shared" si="0"/>
        <v>000731021</v>
      </c>
    </row>
    <row r="13" spans="1:7" x14ac:dyDescent="0.2">
      <c r="D13" s="34">
        <v>730528</v>
      </c>
      <c r="E13" s="13" t="s">
        <v>39</v>
      </c>
      <c r="F13" s="13" t="s">
        <v>25</v>
      </c>
      <c r="G13" s="120" t="str">
        <f t="shared" si="0"/>
        <v>000730528</v>
      </c>
    </row>
    <row r="14" spans="1:7" x14ac:dyDescent="0.2">
      <c r="D14" s="34">
        <v>730457</v>
      </c>
      <c r="E14" s="13" t="s">
        <v>37</v>
      </c>
      <c r="F14" s="13" t="s">
        <v>25</v>
      </c>
      <c r="G14" s="120" t="str">
        <f t="shared" si="0"/>
        <v>000730457</v>
      </c>
    </row>
    <row r="15" spans="1:7" x14ac:dyDescent="0.2">
      <c r="D15" s="34">
        <v>725001</v>
      </c>
      <c r="E15" s="13" t="s">
        <v>33</v>
      </c>
      <c r="F15" s="13" t="s">
        <v>25</v>
      </c>
      <c r="G15" s="120" t="str">
        <f t="shared" si="0"/>
        <v>000725001</v>
      </c>
    </row>
  </sheetData>
  <hyperlinks>
    <hyperlink ref="B1" location="'Question 3'!A1" display="Next Question"/>
    <hyperlink ref="C1" location="'Question 1'!A1" display="Previous Question"/>
    <hyperlink ref="A1" location="'Question Paper for Excel'!A1" display="Home"/>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H32"/>
  <sheetViews>
    <sheetView showGridLines="0" workbookViewId="0">
      <selection activeCell="E6" sqref="E6:H6"/>
    </sheetView>
  </sheetViews>
  <sheetFormatPr defaultColWidth="9.140625" defaultRowHeight="12.75" x14ac:dyDescent="0.2"/>
  <cols>
    <col min="1" max="1" width="9" style="1" bestFit="1" customWidth="1"/>
    <col min="2" max="2" width="13.85546875" style="1" bestFit="1" customWidth="1"/>
    <col min="3" max="3" width="17.7109375" style="1" bestFit="1" customWidth="1"/>
    <col min="4" max="4" width="9.140625" style="1"/>
    <col min="5" max="5" width="17.42578125" style="1" bestFit="1" customWidth="1"/>
    <col min="6" max="6" width="8.42578125" style="1" customWidth="1"/>
    <col min="7" max="7" width="28.28515625" style="1" bestFit="1" customWidth="1"/>
    <col min="8" max="8" width="25.5703125" style="1" bestFit="1" customWidth="1"/>
    <col min="9" max="16384" width="9.140625" style="1"/>
  </cols>
  <sheetData>
    <row r="1" spans="1:8" ht="15.75" x14ac:dyDescent="0.25">
      <c r="A1" s="19" t="s">
        <v>18</v>
      </c>
      <c r="B1" s="20" t="s">
        <v>19</v>
      </c>
      <c r="C1" s="20" t="s">
        <v>43</v>
      </c>
    </row>
    <row r="3" spans="1:8" x14ac:dyDescent="0.2">
      <c r="A3" s="12" t="s">
        <v>44</v>
      </c>
      <c r="B3" s="12" t="s">
        <v>46</v>
      </c>
    </row>
    <row r="4" spans="1:8" x14ac:dyDescent="0.2">
      <c r="A4" s="12"/>
      <c r="B4" s="12"/>
    </row>
    <row r="5" spans="1:8" x14ac:dyDescent="0.2">
      <c r="A5" s="12"/>
      <c r="B5" s="12"/>
    </row>
    <row r="6" spans="1:8" x14ac:dyDescent="0.2">
      <c r="E6" s="33" t="s">
        <v>21</v>
      </c>
      <c r="F6" s="33" t="s">
        <v>47</v>
      </c>
      <c r="G6" s="33" t="s">
        <v>22</v>
      </c>
      <c r="H6" s="33" t="s">
        <v>23</v>
      </c>
    </row>
    <row r="7" spans="1:8" x14ac:dyDescent="0.2">
      <c r="E7" s="13">
        <v>565770</v>
      </c>
      <c r="F7" s="13" t="s">
        <v>48</v>
      </c>
      <c r="G7" s="13" t="s">
        <v>49</v>
      </c>
      <c r="H7" s="13" t="s">
        <v>50</v>
      </c>
    </row>
    <row r="8" spans="1:8" x14ac:dyDescent="0.2">
      <c r="E8" s="13">
        <v>589499</v>
      </c>
      <c r="F8" s="13" t="s">
        <v>48</v>
      </c>
      <c r="G8" s="13" t="s">
        <v>51</v>
      </c>
      <c r="H8" s="13" t="s">
        <v>50</v>
      </c>
    </row>
    <row r="9" spans="1:8" hidden="1" x14ac:dyDescent="0.2">
      <c r="E9" s="13">
        <v>589502</v>
      </c>
      <c r="F9" s="13" t="s">
        <v>48</v>
      </c>
      <c r="G9" s="13" t="s">
        <v>52</v>
      </c>
      <c r="H9" s="13" t="s">
        <v>34</v>
      </c>
    </row>
    <row r="10" spans="1:8" hidden="1" x14ac:dyDescent="0.2">
      <c r="E10" s="13">
        <v>589952</v>
      </c>
      <c r="F10" s="13" t="s">
        <v>48</v>
      </c>
      <c r="G10" s="13" t="s">
        <v>53</v>
      </c>
      <c r="H10" s="13" t="s">
        <v>34</v>
      </c>
    </row>
    <row r="11" spans="1:8" hidden="1" x14ac:dyDescent="0.2">
      <c r="E11" s="13">
        <v>612379</v>
      </c>
      <c r="F11" s="13" t="s">
        <v>48</v>
      </c>
      <c r="G11" s="13" t="s">
        <v>54</v>
      </c>
      <c r="H11" s="13" t="s">
        <v>34</v>
      </c>
    </row>
    <row r="12" spans="1:8" hidden="1" x14ac:dyDescent="0.2">
      <c r="E12" s="13">
        <v>617446</v>
      </c>
      <c r="F12" s="13" t="s">
        <v>55</v>
      </c>
      <c r="G12" s="13" t="s">
        <v>56</v>
      </c>
      <c r="H12" s="13" t="s">
        <v>25</v>
      </c>
    </row>
    <row r="13" spans="1:8" x14ac:dyDescent="0.2">
      <c r="E13" s="13">
        <v>639866</v>
      </c>
      <c r="F13" s="13" t="s">
        <v>48</v>
      </c>
      <c r="G13" s="13" t="s">
        <v>57</v>
      </c>
      <c r="H13" s="13" t="s">
        <v>50</v>
      </c>
    </row>
    <row r="14" spans="1:8" hidden="1" x14ac:dyDescent="0.2">
      <c r="E14" s="13">
        <v>644931</v>
      </c>
      <c r="F14" s="13" t="s">
        <v>48</v>
      </c>
      <c r="G14" s="13" t="s">
        <v>58</v>
      </c>
      <c r="H14" s="13" t="s">
        <v>25</v>
      </c>
    </row>
    <row r="15" spans="1:8" hidden="1" x14ac:dyDescent="0.2">
      <c r="E15" s="13">
        <v>644932</v>
      </c>
      <c r="F15" s="13" t="s">
        <v>48</v>
      </c>
      <c r="G15" s="13" t="s">
        <v>59</v>
      </c>
      <c r="H15" s="13" t="s">
        <v>25</v>
      </c>
    </row>
    <row r="16" spans="1:8" hidden="1" x14ac:dyDescent="0.2">
      <c r="E16" s="13">
        <v>644933</v>
      </c>
      <c r="F16" s="13" t="s">
        <v>48</v>
      </c>
      <c r="G16" s="13" t="s">
        <v>60</v>
      </c>
      <c r="H16" s="13" t="s">
        <v>25</v>
      </c>
    </row>
    <row r="17" spans="5:8" hidden="1" x14ac:dyDescent="0.2">
      <c r="E17" s="13">
        <v>644934</v>
      </c>
      <c r="F17" s="13" t="s">
        <v>48</v>
      </c>
      <c r="G17" s="13" t="s">
        <v>61</v>
      </c>
      <c r="H17" s="13" t="s">
        <v>25</v>
      </c>
    </row>
    <row r="18" spans="5:8" hidden="1" x14ac:dyDescent="0.2">
      <c r="E18" s="13">
        <v>644935</v>
      </c>
      <c r="F18" s="13" t="s">
        <v>48</v>
      </c>
      <c r="G18" s="13" t="s">
        <v>62</v>
      </c>
      <c r="H18" s="13" t="s">
        <v>25</v>
      </c>
    </row>
    <row r="19" spans="5:8" hidden="1" x14ac:dyDescent="0.2">
      <c r="E19" s="13">
        <v>644936</v>
      </c>
      <c r="F19" s="13" t="s">
        <v>48</v>
      </c>
      <c r="G19" s="13" t="s">
        <v>63</v>
      </c>
      <c r="H19" s="13" t="s">
        <v>25</v>
      </c>
    </row>
    <row r="20" spans="5:8" hidden="1" x14ac:dyDescent="0.2">
      <c r="E20" s="13">
        <v>644937</v>
      </c>
      <c r="F20" s="13" t="s">
        <v>48</v>
      </c>
      <c r="G20" s="13" t="s">
        <v>64</v>
      </c>
      <c r="H20" s="13" t="s">
        <v>25</v>
      </c>
    </row>
    <row r="21" spans="5:8" hidden="1" x14ac:dyDescent="0.2">
      <c r="E21" s="13">
        <v>645124</v>
      </c>
      <c r="F21" s="13" t="s">
        <v>48</v>
      </c>
      <c r="G21" s="13" t="s">
        <v>65</v>
      </c>
      <c r="H21" s="13" t="s">
        <v>25</v>
      </c>
    </row>
    <row r="22" spans="5:8" hidden="1" x14ac:dyDescent="0.2">
      <c r="E22" s="13">
        <v>645125</v>
      </c>
      <c r="F22" s="13" t="s">
        <v>48</v>
      </c>
      <c r="G22" s="13" t="s">
        <v>66</v>
      </c>
      <c r="H22" s="13" t="s">
        <v>25</v>
      </c>
    </row>
    <row r="23" spans="5:8" x14ac:dyDescent="0.2">
      <c r="E23" s="13">
        <v>728129</v>
      </c>
      <c r="F23" s="13" t="s">
        <v>67</v>
      </c>
      <c r="G23" s="13" t="s">
        <v>68</v>
      </c>
      <c r="H23" s="13" t="s">
        <v>40</v>
      </c>
    </row>
    <row r="24" spans="5:8" x14ac:dyDescent="0.2">
      <c r="E24" s="13">
        <v>728107</v>
      </c>
      <c r="F24" s="13" t="s">
        <v>67</v>
      </c>
      <c r="G24" s="13" t="s">
        <v>69</v>
      </c>
      <c r="H24" s="13" t="s">
        <v>40</v>
      </c>
    </row>
    <row r="25" spans="5:8" x14ac:dyDescent="0.2">
      <c r="E25" s="13">
        <v>695935</v>
      </c>
      <c r="F25" s="13" t="s">
        <v>55</v>
      </c>
      <c r="G25" s="13" t="s">
        <v>70</v>
      </c>
      <c r="H25" s="13" t="s">
        <v>40</v>
      </c>
    </row>
    <row r="26" spans="5:8" x14ac:dyDescent="0.2">
      <c r="E26" s="13">
        <v>685250</v>
      </c>
      <c r="F26" s="13" t="s">
        <v>48</v>
      </c>
      <c r="G26" s="13" t="s">
        <v>71</v>
      </c>
      <c r="H26" s="13" t="s">
        <v>40</v>
      </c>
    </row>
    <row r="27" spans="5:8" x14ac:dyDescent="0.2">
      <c r="E27" s="13">
        <v>685246</v>
      </c>
      <c r="F27" s="13" t="s">
        <v>48</v>
      </c>
      <c r="G27" s="13" t="s">
        <v>72</v>
      </c>
      <c r="H27" s="13" t="s">
        <v>40</v>
      </c>
    </row>
    <row r="28" spans="5:8" hidden="1" x14ac:dyDescent="0.2">
      <c r="E28" s="13">
        <v>645280</v>
      </c>
      <c r="F28" s="13" t="s">
        <v>48</v>
      </c>
      <c r="G28" s="13" t="s">
        <v>73</v>
      </c>
      <c r="H28" s="13" t="s">
        <v>74</v>
      </c>
    </row>
    <row r="29" spans="5:8" hidden="1" x14ac:dyDescent="0.2">
      <c r="E29" s="13">
        <v>620404</v>
      </c>
      <c r="F29" s="13" t="s">
        <v>48</v>
      </c>
      <c r="G29" s="13" t="s">
        <v>75</v>
      </c>
      <c r="H29" s="13" t="s">
        <v>74</v>
      </c>
    </row>
    <row r="30" spans="5:8" hidden="1" x14ac:dyDescent="0.2">
      <c r="E30" s="13">
        <v>565761</v>
      </c>
      <c r="F30" s="13" t="s">
        <v>48</v>
      </c>
      <c r="G30" s="13" t="s">
        <v>76</v>
      </c>
      <c r="H30" s="13" t="s">
        <v>74</v>
      </c>
    </row>
    <row r="31" spans="5:8" hidden="1" x14ac:dyDescent="0.2">
      <c r="E31" s="13">
        <v>561808</v>
      </c>
      <c r="F31" s="13" t="s">
        <v>48</v>
      </c>
      <c r="G31" s="13" t="s">
        <v>77</v>
      </c>
      <c r="H31" s="13" t="s">
        <v>74</v>
      </c>
    </row>
    <row r="32" spans="5:8" hidden="1" x14ac:dyDescent="0.2">
      <c r="E32" s="13">
        <v>561803</v>
      </c>
      <c r="F32" s="13" t="s">
        <v>48</v>
      </c>
      <c r="G32" s="13" t="s">
        <v>78</v>
      </c>
      <c r="H32" s="13" t="s">
        <v>74</v>
      </c>
    </row>
  </sheetData>
  <autoFilter ref="E6:H32">
    <filterColumn colId="3">
      <customFilters>
        <customFilter val="*sr*"/>
      </customFilters>
    </filterColumn>
  </autoFilter>
  <hyperlinks>
    <hyperlink ref="B1" location="'Question 4'!A1" display="Next Question"/>
    <hyperlink ref="A1" location="'Question Paper for Excel'!A1" display="Home"/>
    <hyperlink ref="C1" location="'Question 2'!A1" display="Previous Question"/>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8"/>
  <sheetViews>
    <sheetView showGridLines="0" workbookViewId="0">
      <selection activeCell="E29" sqref="E29"/>
    </sheetView>
  </sheetViews>
  <sheetFormatPr defaultColWidth="9.140625" defaultRowHeight="12.75" x14ac:dyDescent="0.2"/>
  <cols>
    <col min="1" max="1" width="7.7109375" style="1" bestFit="1" customWidth="1"/>
    <col min="2" max="2" width="13.85546875" style="1" bestFit="1" customWidth="1"/>
    <col min="3" max="3" width="17.7109375" style="1" bestFit="1" customWidth="1"/>
    <col min="4" max="4" width="27.5703125" style="1" bestFit="1" customWidth="1"/>
    <col min="5" max="5" width="9" style="1" customWidth="1"/>
    <col min="6" max="16384" width="9.140625" style="1"/>
  </cols>
  <sheetData>
    <row r="1" spans="1:5" ht="15.75" x14ac:dyDescent="0.25">
      <c r="A1" s="19" t="s">
        <v>18</v>
      </c>
      <c r="B1" s="20" t="s">
        <v>19</v>
      </c>
      <c r="C1" s="20" t="s">
        <v>43</v>
      </c>
    </row>
    <row r="4" spans="1:5" x14ac:dyDescent="0.2">
      <c r="A4" s="12" t="s">
        <v>79</v>
      </c>
    </row>
    <row r="6" spans="1:5" x14ac:dyDescent="0.2">
      <c r="D6" s="12" t="s">
        <v>9</v>
      </c>
      <c r="E6" s="12" t="s">
        <v>80</v>
      </c>
    </row>
    <row r="7" spans="1:5" x14ac:dyDescent="0.2">
      <c r="D7" s="1" t="s">
        <v>81</v>
      </c>
      <c r="E7" s="1">
        <v>695548</v>
      </c>
    </row>
    <row r="8" spans="1:5" x14ac:dyDescent="0.2">
      <c r="D8" s="1" t="s">
        <v>82</v>
      </c>
      <c r="E8" s="1">
        <v>691752</v>
      </c>
    </row>
    <row r="9" spans="1:5" x14ac:dyDescent="0.2">
      <c r="D9" s="1" t="s">
        <v>83</v>
      </c>
      <c r="E9" s="1">
        <v>694104</v>
      </c>
    </row>
    <row r="10" spans="1:5" x14ac:dyDescent="0.2">
      <c r="D10" s="1" t="s">
        <v>84</v>
      </c>
      <c r="E10" s="1">
        <v>694402</v>
      </c>
    </row>
    <row r="11" spans="1:5" x14ac:dyDescent="0.2">
      <c r="D11" s="1" t="s">
        <v>85</v>
      </c>
      <c r="E11" s="1" t="s">
        <v>86</v>
      </c>
    </row>
    <row r="12" spans="1:5" x14ac:dyDescent="0.2">
      <c r="D12" s="1" t="s">
        <v>87</v>
      </c>
      <c r="E12" s="1">
        <v>724629</v>
      </c>
    </row>
    <row r="13" spans="1:5" x14ac:dyDescent="0.2">
      <c r="D13" s="1" t="s">
        <v>88</v>
      </c>
      <c r="E13" s="1">
        <v>725001</v>
      </c>
    </row>
    <row r="14" spans="1:5" x14ac:dyDescent="0.2">
      <c r="D14" s="1" t="s">
        <v>89</v>
      </c>
      <c r="E14" s="1">
        <v>724626</v>
      </c>
    </row>
    <row r="15" spans="1:5" x14ac:dyDescent="0.2">
      <c r="D15" s="1" t="s">
        <v>90</v>
      </c>
      <c r="E15" s="1">
        <v>645126</v>
      </c>
    </row>
    <row r="16" spans="1:5" x14ac:dyDescent="0.2">
      <c r="D16" s="1" t="s">
        <v>91</v>
      </c>
      <c r="E16" s="1">
        <v>693546</v>
      </c>
    </row>
    <row r="17" spans="4:5" x14ac:dyDescent="0.2">
      <c r="D17" s="1" t="s">
        <v>63</v>
      </c>
      <c r="E17" s="1">
        <v>644936</v>
      </c>
    </row>
    <row r="18" spans="4:5" x14ac:dyDescent="0.2">
      <c r="D18" s="1" t="s">
        <v>92</v>
      </c>
      <c r="E18" s="1">
        <v>695549</v>
      </c>
    </row>
    <row r="19" spans="4:5" x14ac:dyDescent="0.2">
      <c r="D19" s="1" t="s">
        <v>93</v>
      </c>
      <c r="E19" s="1">
        <v>653870</v>
      </c>
    </row>
    <row r="20" spans="4:5" x14ac:dyDescent="0.2">
      <c r="D20" s="1" t="s">
        <v>94</v>
      </c>
      <c r="E20" s="1">
        <v>653905</v>
      </c>
    </row>
    <row r="21" spans="4:5" x14ac:dyDescent="0.2">
      <c r="D21" s="1" t="s">
        <v>95</v>
      </c>
      <c r="E21" s="1">
        <v>653872</v>
      </c>
    </row>
    <row r="22" spans="4:5" x14ac:dyDescent="0.2">
      <c r="D22" s="1" t="s">
        <v>96</v>
      </c>
      <c r="E22" s="1" t="s">
        <v>86</v>
      </c>
    </row>
    <row r="23" spans="4:5" x14ac:dyDescent="0.2">
      <c r="D23" s="1" t="s">
        <v>56</v>
      </c>
      <c r="E23" s="1">
        <v>617446</v>
      </c>
    </row>
    <row r="24" spans="4:5" x14ac:dyDescent="0.2">
      <c r="D24" s="1" t="s">
        <v>97</v>
      </c>
      <c r="E24" s="1">
        <v>651284</v>
      </c>
    </row>
    <row r="25" spans="4:5" x14ac:dyDescent="0.2">
      <c r="D25" s="1" t="s">
        <v>58</v>
      </c>
      <c r="E25" s="1">
        <v>644931</v>
      </c>
    </row>
    <row r="26" spans="4:5" x14ac:dyDescent="0.2">
      <c r="D26" s="1" t="s">
        <v>58</v>
      </c>
      <c r="E26" s="1">
        <v>644932</v>
      </c>
    </row>
    <row r="27" spans="4:5" x14ac:dyDescent="0.2">
      <c r="D27" s="1" t="s">
        <v>58</v>
      </c>
      <c r="E27" s="1">
        <v>644932</v>
      </c>
    </row>
    <row r="28" spans="4:5" x14ac:dyDescent="0.2">
      <c r="D28" s="12" t="s">
        <v>98</v>
      </c>
      <c r="E28" s="121">
        <f>SUM(E6:E27)</f>
        <v>12794391</v>
      </c>
    </row>
  </sheetData>
  <hyperlinks>
    <hyperlink ref="A1" location="'Question Paper for Excel'!A1" display="Home"/>
    <hyperlink ref="B1" location="'Question 5'!A1" display="Next Question"/>
    <hyperlink ref="C1" location="'Question 3'!A1" display="Previous Question"/>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2"/>
  <sheetViews>
    <sheetView showGridLines="0" workbookViewId="0">
      <selection activeCell="D19" sqref="D19"/>
    </sheetView>
  </sheetViews>
  <sheetFormatPr defaultColWidth="9.140625" defaultRowHeight="12.75" x14ac:dyDescent="0.2"/>
  <cols>
    <col min="1" max="1" width="7.7109375" style="1" bestFit="1" customWidth="1"/>
    <col min="2" max="2" width="13.85546875" style="1" bestFit="1" customWidth="1"/>
    <col min="3" max="3" width="17.7109375" style="1" bestFit="1" customWidth="1"/>
    <col min="4" max="16384" width="9.140625" style="1"/>
  </cols>
  <sheetData>
    <row r="1" spans="1:6" ht="15.75" x14ac:dyDescent="0.25">
      <c r="A1" s="19" t="s">
        <v>18</v>
      </c>
      <c r="B1" s="20" t="s">
        <v>19</v>
      </c>
      <c r="C1" s="20" t="s">
        <v>43</v>
      </c>
    </row>
    <row r="4" spans="1:6" x14ac:dyDescent="0.2">
      <c r="A4" s="35" t="s">
        <v>99</v>
      </c>
    </row>
    <row r="5" spans="1:6" x14ac:dyDescent="0.2">
      <c r="A5" s="36"/>
    </row>
    <row r="6" spans="1:6" x14ac:dyDescent="0.2">
      <c r="A6" s="36"/>
      <c r="C6" s="37" t="s">
        <v>100</v>
      </c>
      <c r="D6" s="38" t="s">
        <v>101</v>
      </c>
    </row>
    <row r="7" spans="1:6" x14ac:dyDescent="0.2">
      <c r="A7" s="36"/>
      <c r="C7" s="37" t="s">
        <v>102</v>
      </c>
      <c r="D7" s="38" t="s">
        <v>103</v>
      </c>
    </row>
    <row r="8" spans="1:6" x14ac:dyDescent="0.2">
      <c r="A8" s="36"/>
      <c r="C8" s="37" t="s">
        <v>104</v>
      </c>
      <c r="D8" s="38" t="s">
        <v>105</v>
      </c>
    </row>
    <row r="9" spans="1:6" x14ac:dyDescent="0.2">
      <c r="A9" s="36"/>
      <c r="C9" s="37" t="s">
        <v>106</v>
      </c>
      <c r="D9" s="38" t="s">
        <v>107</v>
      </c>
    </row>
    <row r="11" spans="1:6" ht="13.5" thickBot="1" x14ac:dyDescent="0.25"/>
    <row r="12" spans="1:6" ht="13.5" thickBot="1" x14ac:dyDescent="0.25">
      <c r="C12" s="39" t="s">
        <v>108</v>
      </c>
      <c r="D12" s="122" t="s">
        <v>224</v>
      </c>
      <c r="E12" s="40"/>
      <c r="F12" s="41"/>
    </row>
  </sheetData>
  <hyperlinks>
    <hyperlink ref="A1" location="'Question Paper for Excel'!A1" display="Home"/>
    <hyperlink ref="B1" location="'Question 6'!A1" display="Next Question"/>
    <hyperlink ref="C1" location="'Question 4'!A1" display="Previous Question"/>
  </hyperlinks>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8"/>
  <sheetViews>
    <sheetView showGridLines="0" topLeftCell="A3" workbookViewId="0">
      <selection activeCell="F29" sqref="F29"/>
    </sheetView>
  </sheetViews>
  <sheetFormatPr defaultColWidth="9.140625" defaultRowHeight="12.75" x14ac:dyDescent="0.2"/>
  <cols>
    <col min="1" max="1" width="9" style="1" bestFit="1" customWidth="1"/>
    <col min="2" max="2" width="19.42578125" style="1" customWidth="1"/>
    <col min="3" max="3" width="17.7109375" style="1" bestFit="1" customWidth="1"/>
    <col min="4" max="4" width="9.140625" style="1"/>
    <col min="5" max="5" width="27.5703125" style="1" bestFit="1" customWidth="1"/>
    <col min="6" max="6" width="7" style="1" customWidth="1"/>
    <col min="7" max="16384" width="9.140625" style="1"/>
  </cols>
  <sheetData>
    <row r="1" spans="1:6" ht="15.75" x14ac:dyDescent="0.25">
      <c r="A1" s="19" t="s">
        <v>18</v>
      </c>
      <c r="B1" s="20" t="s">
        <v>19</v>
      </c>
      <c r="C1" s="20" t="s">
        <v>43</v>
      </c>
    </row>
    <row r="4" spans="1:6" x14ac:dyDescent="0.2">
      <c r="A4" s="12" t="s">
        <v>44</v>
      </c>
      <c r="B4" s="12" t="s">
        <v>109</v>
      </c>
    </row>
    <row r="5" spans="1:6" ht="13.5" thickBot="1" x14ac:dyDescent="0.25">
      <c r="A5" s="12"/>
      <c r="B5" s="12"/>
    </row>
    <row r="6" spans="1:6" ht="13.5" thickBot="1" x14ac:dyDescent="0.25">
      <c r="E6" s="42" t="s">
        <v>9</v>
      </c>
      <c r="F6" s="43" t="s">
        <v>80</v>
      </c>
    </row>
    <row r="7" spans="1:6" x14ac:dyDescent="0.2">
      <c r="E7" s="44" t="s">
        <v>81</v>
      </c>
      <c r="F7" s="45">
        <v>695548</v>
      </c>
    </row>
    <row r="8" spans="1:6" x14ac:dyDescent="0.2">
      <c r="E8" s="46" t="s">
        <v>82</v>
      </c>
      <c r="F8" s="47">
        <v>691752</v>
      </c>
    </row>
    <row r="9" spans="1:6" x14ac:dyDescent="0.2">
      <c r="E9" s="46" t="s">
        <v>83</v>
      </c>
      <c r="F9" s="47">
        <v>694104</v>
      </c>
    </row>
    <row r="10" spans="1:6" x14ac:dyDescent="0.2">
      <c r="E10" s="46" t="s">
        <v>84</v>
      </c>
      <c r="F10" s="47">
        <v>694402</v>
      </c>
    </row>
    <row r="11" spans="1:6" x14ac:dyDescent="0.2">
      <c r="E11" s="46" t="s">
        <v>85</v>
      </c>
      <c r="F11" s="47" t="s">
        <v>86</v>
      </c>
    </row>
    <row r="12" spans="1:6" x14ac:dyDescent="0.2">
      <c r="E12" s="46" t="s">
        <v>87</v>
      </c>
      <c r="F12" s="47">
        <v>724629</v>
      </c>
    </row>
    <row r="13" spans="1:6" x14ac:dyDescent="0.2">
      <c r="E13" s="46" t="s">
        <v>88</v>
      </c>
      <c r="F13" s="47">
        <v>725001</v>
      </c>
    </row>
    <row r="14" spans="1:6" x14ac:dyDescent="0.2">
      <c r="E14" s="46" t="s">
        <v>89</v>
      </c>
      <c r="F14" s="47">
        <v>724626</v>
      </c>
    </row>
    <row r="15" spans="1:6" x14ac:dyDescent="0.2">
      <c r="E15" s="46" t="s">
        <v>90</v>
      </c>
      <c r="F15" s="47">
        <v>645126</v>
      </c>
    </row>
    <row r="16" spans="1:6" x14ac:dyDescent="0.2">
      <c r="E16" s="46" t="s">
        <v>91</v>
      </c>
      <c r="F16" s="47">
        <v>693546</v>
      </c>
    </row>
    <row r="17" spans="5:6" x14ac:dyDescent="0.2">
      <c r="E17" s="46" t="s">
        <v>63</v>
      </c>
      <c r="F17" s="47">
        <v>644936</v>
      </c>
    </row>
    <row r="18" spans="5:6" x14ac:dyDescent="0.2">
      <c r="E18" s="46" t="s">
        <v>92</v>
      </c>
      <c r="F18" s="47">
        <v>695549</v>
      </c>
    </row>
    <row r="19" spans="5:6" x14ac:dyDescent="0.2">
      <c r="E19" s="46" t="s">
        <v>93</v>
      </c>
      <c r="F19" s="47">
        <v>653870</v>
      </c>
    </row>
    <row r="20" spans="5:6" x14ac:dyDescent="0.2">
      <c r="E20" s="46" t="s">
        <v>94</v>
      </c>
      <c r="F20" s="47">
        <v>653905</v>
      </c>
    </row>
    <row r="21" spans="5:6" x14ac:dyDescent="0.2">
      <c r="E21" s="46" t="s">
        <v>95</v>
      </c>
      <c r="F21" s="47">
        <v>653872</v>
      </c>
    </row>
    <row r="22" spans="5:6" x14ac:dyDescent="0.2">
      <c r="E22" s="46" t="s">
        <v>96</v>
      </c>
      <c r="F22" s="47" t="s">
        <v>86</v>
      </c>
    </row>
    <row r="23" spans="5:6" x14ac:dyDescent="0.2">
      <c r="E23" s="46" t="s">
        <v>56</v>
      </c>
      <c r="F23" s="47">
        <v>617446</v>
      </c>
    </row>
    <row r="24" spans="5:6" x14ac:dyDescent="0.2">
      <c r="E24" s="46" t="s">
        <v>97</v>
      </c>
      <c r="F24" s="47">
        <v>651284</v>
      </c>
    </row>
    <row r="25" spans="5:6" x14ac:dyDescent="0.2">
      <c r="E25" s="46" t="s">
        <v>58</v>
      </c>
      <c r="F25" s="47">
        <v>644931</v>
      </c>
    </row>
    <row r="26" spans="5:6" x14ac:dyDescent="0.2">
      <c r="E26" s="46" t="s">
        <v>58</v>
      </c>
      <c r="F26" s="47">
        <v>644932</v>
      </c>
    </row>
    <row r="27" spans="5:6" ht="13.5" thickBot="1" x14ac:dyDescent="0.25">
      <c r="E27" s="48" t="s">
        <v>58</v>
      </c>
      <c r="F27" s="49">
        <v>644933</v>
      </c>
    </row>
    <row r="28" spans="5:6" ht="13.5" thickBot="1" x14ac:dyDescent="0.25">
      <c r="E28" s="50" t="s">
        <v>110</v>
      </c>
      <c r="F28" s="123">
        <f>COUNT(F6:F27)</f>
        <v>19</v>
      </c>
    </row>
  </sheetData>
  <hyperlinks>
    <hyperlink ref="A1" location="'Question Paper for Excel'!A1" display="Home"/>
    <hyperlink ref="B1" location="'Question 7'!A1" display="Next Question"/>
    <hyperlink ref="C1" location="'Question 5'!A1" display="Previous Question"/>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7"/>
  <sheetViews>
    <sheetView showGridLines="0" workbookViewId="0">
      <selection activeCell="G7" sqref="G7:G27"/>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5" width="9.140625" style="1"/>
    <col min="6" max="6" width="22.42578125" style="1" bestFit="1" customWidth="1"/>
    <col min="7" max="16384" width="9.140625" style="1"/>
  </cols>
  <sheetData>
    <row r="1" spans="1:7" ht="15.75" x14ac:dyDescent="0.25">
      <c r="A1" s="19" t="s">
        <v>18</v>
      </c>
      <c r="B1" s="20" t="s">
        <v>19</v>
      </c>
      <c r="C1" s="52" t="s">
        <v>43</v>
      </c>
    </row>
    <row r="4" spans="1:7" x14ac:dyDescent="0.2">
      <c r="A4" s="12" t="s">
        <v>44</v>
      </c>
      <c r="B4" s="12" t="s">
        <v>111</v>
      </c>
    </row>
    <row r="5" spans="1:7" ht="13.5" thickBot="1" x14ac:dyDescent="0.25"/>
    <row r="6" spans="1:7" ht="13.5" thickBot="1" x14ac:dyDescent="0.25">
      <c r="F6" s="11" t="s">
        <v>9</v>
      </c>
      <c r="G6" s="17" t="s">
        <v>112</v>
      </c>
    </row>
    <row r="7" spans="1:7" ht="13.5" thickBot="1" x14ac:dyDescent="0.25">
      <c r="F7" s="44" t="s">
        <v>81</v>
      </c>
      <c r="G7" s="124">
        <f>LEN(F7)</f>
        <v>19</v>
      </c>
    </row>
    <row r="8" spans="1:7" ht="13.5" thickBot="1" x14ac:dyDescent="0.25">
      <c r="F8" s="46" t="s">
        <v>82</v>
      </c>
      <c r="G8" s="124">
        <f t="shared" ref="G8:G27" si="0">LEN(F8)</f>
        <v>14</v>
      </c>
    </row>
    <row r="9" spans="1:7" ht="13.5" thickBot="1" x14ac:dyDescent="0.25">
      <c r="F9" s="46" t="s">
        <v>83</v>
      </c>
      <c r="G9" s="124">
        <f t="shared" si="0"/>
        <v>12</v>
      </c>
    </row>
    <row r="10" spans="1:7" ht="13.5" thickBot="1" x14ac:dyDescent="0.25">
      <c r="F10" s="46" t="s">
        <v>84</v>
      </c>
      <c r="G10" s="124">
        <f t="shared" si="0"/>
        <v>12</v>
      </c>
    </row>
    <row r="11" spans="1:7" ht="13.5" thickBot="1" x14ac:dyDescent="0.25">
      <c r="F11" s="46" t="s">
        <v>85</v>
      </c>
      <c r="G11" s="124">
        <f t="shared" si="0"/>
        <v>13</v>
      </c>
    </row>
    <row r="12" spans="1:7" ht="13.5" thickBot="1" x14ac:dyDescent="0.25">
      <c r="F12" s="46" t="s">
        <v>87</v>
      </c>
      <c r="G12" s="124">
        <f t="shared" si="0"/>
        <v>11</v>
      </c>
    </row>
    <row r="13" spans="1:7" ht="13.5" thickBot="1" x14ac:dyDescent="0.25">
      <c r="F13" s="46" t="s">
        <v>88</v>
      </c>
      <c r="G13" s="124">
        <f t="shared" si="0"/>
        <v>15</v>
      </c>
    </row>
    <row r="14" spans="1:7" ht="13.5" thickBot="1" x14ac:dyDescent="0.25">
      <c r="F14" s="46" t="s">
        <v>89</v>
      </c>
      <c r="G14" s="124">
        <f t="shared" si="0"/>
        <v>9</v>
      </c>
    </row>
    <row r="15" spans="1:7" ht="13.5" thickBot="1" x14ac:dyDescent="0.25">
      <c r="F15" s="46" t="s">
        <v>90</v>
      </c>
      <c r="G15" s="124">
        <f t="shared" si="0"/>
        <v>18</v>
      </c>
    </row>
    <row r="16" spans="1:7" ht="13.5" thickBot="1" x14ac:dyDescent="0.25">
      <c r="F16" s="46" t="s">
        <v>91</v>
      </c>
      <c r="G16" s="124">
        <f t="shared" si="0"/>
        <v>22</v>
      </c>
    </row>
    <row r="17" spans="6:7" ht="13.5" thickBot="1" x14ac:dyDescent="0.25">
      <c r="F17" s="46" t="s">
        <v>63</v>
      </c>
      <c r="G17" s="124">
        <f t="shared" si="0"/>
        <v>11</v>
      </c>
    </row>
    <row r="18" spans="6:7" ht="13.5" thickBot="1" x14ac:dyDescent="0.25">
      <c r="F18" s="46" t="s">
        <v>92</v>
      </c>
      <c r="G18" s="124">
        <f t="shared" si="0"/>
        <v>13</v>
      </c>
    </row>
    <row r="19" spans="6:7" ht="13.5" thickBot="1" x14ac:dyDescent="0.25">
      <c r="F19" s="46" t="s">
        <v>93</v>
      </c>
      <c r="G19" s="124">
        <f t="shared" si="0"/>
        <v>10</v>
      </c>
    </row>
    <row r="20" spans="6:7" ht="13.5" thickBot="1" x14ac:dyDescent="0.25">
      <c r="F20" s="46" t="s">
        <v>94</v>
      </c>
      <c r="G20" s="124">
        <f t="shared" si="0"/>
        <v>12</v>
      </c>
    </row>
    <row r="21" spans="6:7" ht="13.5" thickBot="1" x14ac:dyDescent="0.25">
      <c r="F21" s="46" t="s">
        <v>95</v>
      </c>
      <c r="G21" s="124">
        <f t="shared" si="0"/>
        <v>15</v>
      </c>
    </row>
    <row r="22" spans="6:7" ht="13.5" thickBot="1" x14ac:dyDescent="0.25">
      <c r="F22" s="46" t="s">
        <v>96</v>
      </c>
      <c r="G22" s="124">
        <f t="shared" si="0"/>
        <v>14</v>
      </c>
    </row>
    <row r="23" spans="6:7" ht="13.5" thickBot="1" x14ac:dyDescent="0.25">
      <c r="F23" s="46" t="s">
        <v>56</v>
      </c>
      <c r="G23" s="124">
        <f t="shared" si="0"/>
        <v>12</v>
      </c>
    </row>
    <row r="24" spans="6:7" ht="13.5" thickBot="1" x14ac:dyDescent="0.25">
      <c r="F24" s="46" t="s">
        <v>97</v>
      </c>
      <c r="G24" s="124">
        <f t="shared" si="0"/>
        <v>13</v>
      </c>
    </row>
    <row r="25" spans="6:7" ht="13.5" thickBot="1" x14ac:dyDescent="0.25">
      <c r="F25" s="46" t="s">
        <v>58</v>
      </c>
      <c r="G25" s="124">
        <f t="shared" si="0"/>
        <v>18</v>
      </c>
    </row>
    <row r="26" spans="6:7" ht="13.5" thickBot="1" x14ac:dyDescent="0.25">
      <c r="F26" s="46" t="s">
        <v>58</v>
      </c>
      <c r="G26" s="124">
        <f t="shared" si="0"/>
        <v>18</v>
      </c>
    </row>
    <row r="27" spans="6:7" x14ac:dyDescent="0.2">
      <c r="F27" s="46" t="s">
        <v>58</v>
      </c>
      <c r="G27" s="124">
        <f t="shared" si="0"/>
        <v>18</v>
      </c>
    </row>
  </sheetData>
  <hyperlinks>
    <hyperlink ref="A1" location="'Question Paper for Excel'!A1" display="Home"/>
    <hyperlink ref="B1" location="'Question 8'!A1" display="Next Question"/>
    <hyperlink ref="C1" location="'Question 6'!A1" display="Previous Question"/>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8"/>
  <sheetViews>
    <sheetView showGridLines="0" workbookViewId="0">
      <selection activeCell="D7" sqref="D7:D28"/>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4" width="22.42578125" style="1" bestFit="1" customWidth="1"/>
    <col min="5" max="16384" width="9.140625" style="1"/>
  </cols>
  <sheetData>
    <row r="1" spans="1:4" ht="15.75" x14ac:dyDescent="0.25">
      <c r="A1" s="19" t="s">
        <v>18</v>
      </c>
      <c r="B1" s="20" t="s">
        <v>19</v>
      </c>
      <c r="C1" s="52" t="s">
        <v>43</v>
      </c>
    </row>
    <row r="5" spans="1:4" x14ac:dyDescent="0.2">
      <c r="A5" s="12" t="s">
        <v>44</v>
      </c>
      <c r="B5" s="12" t="s">
        <v>113</v>
      </c>
    </row>
    <row r="6" spans="1:4" ht="13.5" thickBot="1" x14ac:dyDescent="0.25">
      <c r="A6" s="12"/>
      <c r="B6" s="12"/>
    </row>
    <row r="7" spans="1:4" ht="13.5" thickBot="1" x14ac:dyDescent="0.25">
      <c r="D7" s="11" t="s">
        <v>9</v>
      </c>
    </row>
    <row r="8" spans="1:4" x14ac:dyDescent="0.2">
      <c r="D8" s="53" t="s">
        <v>81</v>
      </c>
    </row>
    <row r="9" spans="1:4" x14ac:dyDescent="0.2">
      <c r="D9" s="54" t="s">
        <v>114</v>
      </c>
    </row>
    <row r="10" spans="1:4" x14ac:dyDescent="0.2">
      <c r="D10" s="54" t="s">
        <v>83</v>
      </c>
    </row>
    <row r="11" spans="1:4" x14ac:dyDescent="0.2">
      <c r="D11" s="54" t="s">
        <v>84</v>
      </c>
    </row>
    <row r="12" spans="1:4" x14ac:dyDescent="0.2">
      <c r="D12" s="54" t="s">
        <v>114</v>
      </c>
    </row>
    <row r="13" spans="1:4" x14ac:dyDescent="0.2">
      <c r="D13" s="54" t="s">
        <v>114</v>
      </c>
    </row>
    <row r="14" spans="1:4" x14ac:dyDescent="0.2">
      <c r="D14" s="54" t="s">
        <v>88</v>
      </c>
    </row>
    <row r="15" spans="1:4" x14ac:dyDescent="0.2">
      <c r="D15" s="54" t="s">
        <v>89</v>
      </c>
    </row>
    <row r="16" spans="1:4" x14ac:dyDescent="0.2">
      <c r="D16" s="54" t="s">
        <v>90</v>
      </c>
    </row>
    <row r="17" spans="4:4" x14ac:dyDescent="0.2">
      <c r="D17" s="54" t="s">
        <v>91</v>
      </c>
    </row>
    <row r="18" spans="4:4" x14ac:dyDescent="0.2">
      <c r="D18" s="54" t="s">
        <v>63</v>
      </c>
    </row>
    <row r="19" spans="4:4" x14ac:dyDescent="0.2">
      <c r="D19" s="54" t="s">
        <v>92</v>
      </c>
    </row>
    <row r="20" spans="4:4" x14ac:dyDescent="0.2">
      <c r="D20" s="54" t="s">
        <v>114</v>
      </c>
    </row>
    <row r="21" spans="4:4" x14ac:dyDescent="0.2">
      <c r="D21" s="54" t="s">
        <v>114</v>
      </c>
    </row>
    <row r="22" spans="4:4" x14ac:dyDescent="0.2">
      <c r="D22" s="54" t="s">
        <v>114</v>
      </c>
    </row>
    <row r="23" spans="4:4" x14ac:dyDescent="0.2">
      <c r="D23" s="54" t="s">
        <v>96</v>
      </c>
    </row>
    <row r="24" spans="4:4" x14ac:dyDescent="0.2">
      <c r="D24" s="54" t="s">
        <v>56</v>
      </c>
    </row>
    <row r="25" spans="4:4" x14ac:dyDescent="0.2">
      <c r="D25" s="54" t="s">
        <v>114</v>
      </c>
    </row>
    <row r="26" spans="4:4" x14ac:dyDescent="0.2">
      <c r="D26" s="54" t="s">
        <v>58</v>
      </c>
    </row>
    <row r="27" spans="4:4" x14ac:dyDescent="0.2">
      <c r="D27" s="54" t="s">
        <v>58</v>
      </c>
    </row>
    <row r="28" spans="4:4" ht="13.5" thickBot="1" x14ac:dyDescent="0.25">
      <c r="D28" s="55" t="s">
        <v>58</v>
      </c>
    </row>
  </sheetData>
  <conditionalFormatting sqref="D7:D28">
    <cfRule type="duplicateValues" dxfId="0" priority="1"/>
  </conditionalFormatting>
  <hyperlinks>
    <hyperlink ref="A1" location="'Question Paper for Excel'!A1" display="Home"/>
    <hyperlink ref="B1" location="'Question 9'!A1" display="Next Question"/>
    <hyperlink ref="C1" location="'Question 7'!A1" display="Previous Question"/>
  </hyperlink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2"/>
  <sheetViews>
    <sheetView showGridLines="0" workbookViewId="0">
      <selection activeCell="H13" sqref="H13"/>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4" width="9.140625" style="1"/>
    <col min="5" max="6" width="10.7109375" style="1" customWidth="1"/>
    <col min="7" max="7" width="10.5703125" style="1" bestFit="1" customWidth="1"/>
    <col min="8" max="8" width="18.140625" style="1" bestFit="1" customWidth="1"/>
    <col min="9" max="16384" width="9.140625" style="1"/>
  </cols>
  <sheetData>
    <row r="1" spans="1:8" ht="15.75" x14ac:dyDescent="0.25">
      <c r="A1" s="19" t="s">
        <v>18</v>
      </c>
      <c r="B1" s="20" t="s">
        <v>19</v>
      </c>
      <c r="C1" s="52" t="s">
        <v>43</v>
      </c>
    </row>
    <row r="4" spans="1:8" x14ac:dyDescent="0.2">
      <c r="A4" s="12" t="s">
        <v>44</v>
      </c>
      <c r="B4" s="12" t="s">
        <v>115</v>
      </c>
    </row>
    <row r="5" spans="1:8" ht="13.5" thickBot="1" x14ac:dyDescent="0.25"/>
    <row r="6" spans="1:8" ht="13.5" thickBot="1" x14ac:dyDescent="0.25">
      <c r="E6" s="42" t="s">
        <v>116</v>
      </c>
      <c r="F6" s="104" t="s">
        <v>182</v>
      </c>
      <c r="G6" s="56" t="s">
        <v>117</v>
      </c>
      <c r="H6" s="43" t="s">
        <v>118</v>
      </c>
    </row>
    <row r="7" spans="1:8" ht="13.5" thickBot="1" x14ac:dyDescent="0.25">
      <c r="E7" s="44" t="s">
        <v>119</v>
      </c>
      <c r="F7" s="105"/>
      <c r="G7" s="45" t="s">
        <v>120</v>
      </c>
      <c r="H7" s="125" t="str">
        <f>E7&amp;F7&amp;" "&amp;G7</f>
        <v>Narbir Singh</v>
      </c>
    </row>
    <row r="8" spans="1:8" ht="13.5" thickBot="1" x14ac:dyDescent="0.25">
      <c r="E8" s="46" t="s">
        <v>121</v>
      </c>
      <c r="F8" s="106" t="s">
        <v>179</v>
      </c>
      <c r="G8" s="47" t="s">
        <v>122</v>
      </c>
      <c r="H8" s="125" t="str">
        <f t="shared" ref="H8:H12" si="0">E8&amp;" "&amp;F8&amp;" "&amp;G8</f>
        <v>Zia Abdulla Shekh</v>
      </c>
    </row>
    <row r="9" spans="1:8" ht="13.5" thickBot="1" x14ac:dyDescent="0.25">
      <c r="E9" s="46" t="s">
        <v>31</v>
      </c>
      <c r="F9" s="106"/>
      <c r="G9" s="47" t="s">
        <v>123</v>
      </c>
      <c r="H9" s="125" t="str">
        <f>E9&amp;F9&amp;" "&amp;G9</f>
        <v>Ashish Arora</v>
      </c>
    </row>
    <row r="10" spans="1:8" ht="13.5" thickBot="1" x14ac:dyDescent="0.25">
      <c r="E10" s="46" t="s">
        <v>124</v>
      </c>
      <c r="F10" s="106"/>
      <c r="G10" s="47" t="s">
        <v>125</v>
      </c>
      <c r="H10" s="125" t="str">
        <f>E10&amp;F10&amp;G10</f>
        <v>Pankaj Gupta</v>
      </c>
    </row>
    <row r="11" spans="1:8" ht="13.5" thickBot="1" x14ac:dyDescent="0.25">
      <c r="E11" s="46" t="s">
        <v>180</v>
      </c>
      <c r="F11" s="106" t="s">
        <v>126</v>
      </c>
      <c r="G11" s="47" t="s">
        <v>181</v>
      </c>
      <c r="H11" s="125" t="str">
        <f t="shared" si="0"/>
        <v>Amit Kumar Sharma</v>
      </c>
    </row>
    <row r="12" spans="1:8" ht="13.5" thickBot="1" x14ac:dyDescent="0.25">
      <c r="E12" s="48" t="s">
        <v>31</v>
      </c>
      <c r="F12" s="107"/>
      <c r="G12" s="49" t="s">
        <v>126</v>
      </c>
      <c r="H12" s="125" t="str">
        <f>E12&amp;F12&amp;" "&amp;G12</f>
        <v>Ashish Kumar</v>
      </c>
    </row>
  </sheetData>
  <hyperlinks>
    <hyperlink ref="A1" location="'Question Paper for Excel'!A1" display="Home"/>
    <hyperlink ref="B1" location="'Question 10'!A1" display="Next Question"/>
    <hyperlink ref="C1" location="'Question 8'!A1" display="Previous Question"/>
  </hyperlinks>
  <pageMargins left="0.75" right="0.75" top="1" bottom="1" header="0.5" footer="0.5"/>
  <headerFooter alignWithMargins="0"/>
  <ignoredErrors>
    <ignoredError sqref="H8"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filterMode="1"/>
  <dimension ref="A1:E45"/>
  <sheetViews>
    <sheetView showGridLines="0" workbookViewId="0">
      <selection activeCell="E7" sqref="E7"/>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4" width="9.140625" style="1"/>
    <col min="5" max="5" width="25" style="1" bestFit="1" customWidth="1"/>
    <col min="6" max="16384" width="9.140625" style="1"/>
  </cols>
  <sheetData>
    <row r="1" spans="1:5" ht="15.75" x14ac:dyDescent="0.25">
      <c r="A1" s="19" t="s">
        <v>18</v>
      </c>
      <c r="B1" s="20" t="s">
        <v>19</v>
      </c>
      <c r="C1" s="52" t="s">
        <v>43</v>
      </c>
    </row>
    <row r="3" spans="1:5" x14ac:dyDescent="0.2">
      <c r="A3" s="12" t="s">
        <v>44</v>
      </c>
      <c r="B3" s="12" t="s">
        <v>127</v>
      </c>
    </row>
    <row r="7" spans="1:5" x14ac:dyDescent="0.2">
      <c r="E7" s="57" t="s">
        <v>128</v>
      </c>
    </row>
    <row r="8" spans="1:5" hidden="1" x14ac:dyDescent="0.2">
      <c r="E8" s="58">
        <v>3014</v>
      </c>
    </row>
    <row r="9" spans="1:5" hidden="1" x14ac:dyDescent="0.2">
      <c r="E9" s="58">
        <v>2709</v>
      </c>
    </row>
    <row r="10" spans="1:5" hidden="1" x14ac:dyDescent="0.2">
      <c r="E10" s="58">
        <v>2674</v>
      </c>
    </row>
    <row r="11" spans="1:5" hidden="1" x14ac:dyDescent="0.2">
      <c r="E11" s="58">
        <v>2581</v>
      </c>
    </row>
    <row r="12" spans="1:5" hidden="1" x14ac:dyDescent="0.2">
      <c r="E12" s="58">
        <v>2499</v>
      </c>
    </row>
    <row r="13" spans="1:5" hidden="1" x14ac:dyDescent="0.2">
      <c r="E13" s="58">
        <v>2430</v>
      </c>
    </row>
    <row r="14" spans="1:5" hidden="1" x14ac:dyDescent="0.2">
      <c r="E14" s="58">
        <v>2101</v>
      </c>
    </row>
    <row r="15" spans="1:5" hidden="1" x14ac:dyDescent="0.2">
      <c r="E15" s="58">
        <v>1919</v>
      </c>
    </row>
    <row r="16" spans="1:5" hidden="1" x14ac:dyDescent="0.2">
      <c r="E16" s="58">
        <v>1882</v>
      </c>
    </row>
    <row r="17" spans="5:5" hidden="1" x14ac:dyDescent="0.2">
      <c r="E17" s="58">
        <v>1828</v>
      </c>
    </row>
    <row r="18" spans="5:5" hidden="1" x14ac:dyDescent="0.2">
      <c r="E18" s="58">
        <v>1561</v>
      </c>
    </row>
    <row r="19" spans="5:5" hidden="1" x14ac:dyDescent="0.2">
      <c r="E19" s="58">
        <v>1537</v>
      </c>
    </row>
    <row r="20" spans="5:5" hidden="1" x14ac:dyDescent="0.2">
      <c r="E20" s="58">
        <v>1530</v>
      </c>
    </row>
    <row r="21" spans="5:5" hidden="1" x14ac:dyDescent="0.2">
      <c r="E21" s="58">
        <v>1520</v>
      </c>
    </row>
    <row r="22" spans="5:5" hidden="1" x14ac:dyDescent="0.2">
      <c r="E22" s="58">
        <v>1518</v>
      </c>
    </row>
    <row r="23" spans="5:5" hidden="1" x14ac:dyDescent="0.2">
      <c r="E23" s="58">
        <v>1499</v>
      </c>
    </row>
    <row r="24" spans="5:5" hidden="1" x14ac:dyDescent="0.2">
      <c r="E24" s="58">
        <v>1467</v>
      </c>
    </row>
    <row r="25" spans="5:5" hidden="1" x14ac:dyDescent="0.2">
      <c r="E25" s="58">
        <v>1466</v>
      </c>
    </row>
    <row r="26" spans="5:5" hidden="1" x14ac:dyDescent="0.2">
      <c r="E26" s="58">
        <v>1462</v>
      </c>
    </row>
    <row r="27" spans="5:5" hidden="1" x14ac:dyDescent="0.2">
      <c r="E27" s="58">
        <v>1460</v>
      </c>
    </row>
    <row r="28" spans="5:5" hidden="1" x14ac:dyDescent="0.2">
      <c r="E28" s="58">
        <v>1442</v>
      </c>
    </row>
    <row r="29" spans="5:5" hidden="1" x14ac:dyDescent="0.2">
      <c r="E29" s="58">
        <v>1431</v>
      </c>
    </row>
    <row r="30" spans="5:5" hidden="1" x14ac:dyDescent="0.2">
      <c r="E30" s="58">
        <v>1421</v>
      </c>
    </row>
    <row r="31" spans="5:5" hidden="1" x14ac:dyDescent="0.2">
      <c r="E31" s="58">
        <v>1406</v>
      </c>
    </row>
    <row r="32" spans="5:5" hidden="1" x14ac:dyDescent="0.2">
      <c r="E32" s="58">
        <v>1403</v>
      </c>
    </row>
    <row r="33" spans="5:5" x14ac:dyDescent="0.2">
      <c r="E33" s="58">
        <v>1384</v>
      </c>
    </row>
    <row r="34" spans="5:5" x14ac:dyDescent="0.2">
      <c r="E34" s="58">
        <v>1377</v>
      </c>
    </row>
    <row r="35" spans="5:5" x14ac:dyDescent="0.2">
      <c r="E35" s="58">
        <v>1375</v>
      </c>
    </row>
    <row r="36" spans="5:5" x14ac:dyDescent="0.2">
      <c r="E36" s="58">
        <v>1374</v>
      </c>
    </row>
    <row r="37" spans="5:5" x14ac:dyDescent="0.2">
      <c r="E37" s="58">
        <v>1372</v>
      </c>
    </row>
    <row r="38" spans="5:5" x14ac:dyDescent="0.2">
      <c r="E38" s="58">
        <v>1370</v>
      </c>
    </row>
    <row r="39" spans="5:5" x14ac:dyDescent="0.2">
      <c r="E39" s="58">
        <v>1368</v>
      </c>
    </row>
    <row r="40" spans="5:5" x14ac:dyDescent="0.2">
      <c r="E40" s="58">
        <v>1365</v>
      </c>
    </row>
    <row r="41" spans="5:5" x14ac:dyDescent="0.2">
      <c r="E41" s="58">
        <v>1365</v>
      </c>
    </row>
    <row r="42" spans="5:5" x14ac:dyDescent="0.2">
      <c r="E42" s="58">
        <v>1365</v>
      </c>
    </row>
    <row r="43" spans="5:5" x14ac:dyDescent="0.2">
      <c r="E43" s="58">
        <v>1364</v>
      </c>
    </row>
    <row r="44" spans="5:5" x14ac:dyDescent="0.2">
      <c r="E44" s="58">
        <v>1362</v>
      </c>
    </row>
    <row r="45" spans="5:5" x14ac:dyDescent="0.2">
      <c r="E45" s="58">
        <v>1362</v>
      </c>
    </row>
  </sheetData>
  <autoFilter ref="E7:E45">
    <filterColumn colId="0">
      <customFilters>
        <customFilter operator="lessThanOrEqual" val="1400"/>
      </customFilters>
    </filterColumn>
  </autoFilter>
  <hyperlinks>
    <hyperlink ref="A1" location="'Question Paper for Excel'!A1" display="Home"/>
    <hyperlink ref="B1" location="'Question 11'!A1" display="Next Question"/>
    <hyperlink ref="C1" location="'Question 9'!A1" display="Previous Question"/>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J33"/>
  <sheetViews>
    <sheetView showGridLines="0" workbookViewId="0">
      <selection activeCell="H7" sqref="H7:M21"/>
    </sheetView>
  </sheetViews>
  <sheetFormatPr defaultColWidth="9.140625" defaultRowHeight="12.75" zeroHeight="1" x14ac:dyDescent="0.2"/>
  <cols>
    <col min="1" max="1" width="17.42578125" style="1" bestFit="1" customWidth="1"/>
    <col min="2" max="2" width="14.140625" style="1" customWidth="1"/>
    <col min="3" max="3" width="22.42578125" style="1" bestFit="1" customWidth="1"/>
    <col min="4" max="4" width="19.42578125" style="1" bestFit="1" customWidth="1"/>
    <col min="5" max="5" width="8.42578125" style="1" customWidth="1"/>
    <col min="6" max="7" width="9.140625" style="1"/>
    <col min="8" max="8" width="20.42578125" style="1" bestFit="1" customWidth="1"/>
    <col min="9" max="9" width="25.5703125" style="1" bestFit="1" customWidth="1"/>
    <col min="10" max="16384" width="9.140625" style="1"/>
  </cols>
  <sheetData>
    <row r="1" spans="1:10" ht="15.75" x14ac:dyDescent="0.25">
      <c r="A1" s="19" t="s">
        <v>18</v>
      </c>
      <c r="B1" s="20" t="s">
        <v>19</v>
      </c>
      <c r="C1" s="52" t="s">
        <v>43</v>
      </c>
    </row>
    <row r="2" spans="1:10" x14ac:dyDescent="0.2"/>
    <row r="3" spans="1:10" x14ac:dyDescent="0.2"/>
    <row r="4" spans="1:10" x14ac:dyDescent="0.2">
      <c r="A4" s="12" t="s">
        <v>44</v>
      </c>
      <c r="B4" s="12" t="s">
        <v>129</v>
      </c>
    </row>
    <row r="5" spans="1:10" ht="13.5" thickBot="1" x14ac:dyDescent="0.25"/>
    <row r="6" spans="1:10" ht="13.5" thickBot="1" x14ac:dyDescent="0.25">
      <c r="A6" s="59" t="s">
        <v>21</v>
      </c>
      <c r="B6" s="60" t="s">
        <v>47</v>
      </c>
      <c r="C6" s="60" t="s">
        <v>22</v>
      </c>
      <c r="D6" s="61" t="s">
        <v>23</v>
      </c>
    </row>
    <row r="7" spans="1:10" ht="15" x14ac:dyDescent="0.25">
      <c r="A7" s="62">
        <v>565770</v>
      </c>
      <c r="B7" s="63" t="s">
        <v>48</v>
      </c>
      <c r="C7" s="63" t="s">
        <v>49</v>
      </c>
      <c r="D7" s="64" t="s">
        <v>50</v>
      </c>
      <c r="H7" s="150" t="s">
        <v>225</v>
      </c>
      <c r="I7" t="s">
        <v>226</v>
      </c>
      <c r="J7"/>
    </row>
    <row r="8" spans="1:10" ht="15" x14ac:dyDescent="0.25">
      <c r="A8" s="62">
        <v>589499</v>
      </c>
      <c r="B8" s="63" t="s">
        <v>48</v>
      </c>
      <c r="C8" s="63" t="s">
        <v>51</v>
      </c>
      <c r="D8" s="64" t="s">
        <v>50</v>
      </c>
      <c r="H8" s="130" t="s">
        <v>25</v>
      </c>
      <c r="I8" s="151">
        <v>10</v>
      </c>
      <c r="J8"/>
    </row>
    <row r="9" spans="1:10" ht="15" x14ac:dyDescent="0.25">
      <c r="A9" s="62">
        <v>589502</v>
      </c>
      <c r="B9" s="63" t="s">
        <v>48</v>
      </c>
      <c r="C9" s="63" t="s">
        <v>52</v>
      </c>
      <c r="D9" s="64" t="s">
        <v>34</v>
      </c>
      <c r="H9" s="130" t="s">
        <v>34</v>
      </c>
      <c r="I9" s="151">
        <v>3</v>
      </c>
      <c r="J9"/>
    </row>
    <row r="10" spans="1:10" ht="15" x14ac:dyDescent="0.25">
      <c r="A10" s="62">
        <v>589952</v>
      </c>
      <c r="B10" s="63" t="s">
        <v>48</v>
      </c>
      <c r="C10" s="63" t="s">
        <v>53</v>
      </c>
      <c r="D10" s="64" t="s">
        <v>34</v>
      </c>
      <c r="H10" s="130" t="s">
        <v>40</v>
      </c>
      <c r="I10" s="151">
        <v>5</v>
      </c>
      <c r="J10"/>
    </row>
    <row r="11" spans="1:10" ht="15" x14ac:dyDescent="0.25">
      <c r="A11" s="62">
        <v>612379</v>
      </c>
      <c r="B11" s="63" t="s">
        <v>48</v>
      </c>
      <c r="C11" s="63" t="s">
        <v>54</v>
      </c>
      <c r="D11" s="64" t="s">
        <v>34</v>
      </c>
      <c r="H11" s="130" t="s">
        <v>50</v>
      </c>
      <c r="I11" s="151">
        <v>3</v>
      </c>
      <c r="J11"/>
    </row>
    <row r="12" spans="1:10" ht="15" x14ac:dyDescent="0.25">
      <c r="A12" s="62">
        <v>617446</v>
      </c>
      <c r="B12" s="63" t="s">
        <v>55</v>
      </c>
      <c r="C12" s="63" t="s">
        <v>56</v>
      </c>
      <c r="D12" s="64" t="s">
        <v>25</v>
      </c>
      <c r="H12" s="130" t="s">
        <v>74</v>
      </c>
      <c r="I12" s="151">
        <v>5</v>
      </c>
      <c r="J12"/>
    </row>
    <row r="13" spans="1:10" ht="15" x14ac:dyDescent="0.25">
      <c r="A13" s="62">
        <v>639866</v>
      </c>
      <c r="B13" s="63" t="s">
        <v>48</v>
      </c>
      <c r="C13" s="63" t="s">
        <v>57</v>
      </c>
      <c r="D13" s="64" t="s">
        <v>50</v>
      </c>
      <c r="H13" s="130" t="s">
        <v>98</v>
      </c>
      <c r="I13" s="151">
        <v>26</v>
      </c>
      <c r="J13"/>
    </row>
    <row r="14" spans="1:10" ht="15" x14ac:dyDescent="0.25">
      <c r="A14" s="62">
        <v>644931</v>
      </c>
      <c r="B14" s="63" t="s">
        <v>48</v>
      </c>
      <c r="C14" s="63" t="s">
        <v>58</v>
      </c>
      <c r="D14" s="64" t="s">
        <v>25</v>
      </c>
      <c r="H14"/>
      <c r="I14"/>
      <c r="J14"/>
    </row>
    <row r="15" spans="1:10" ht="15" x14ac:dyDescent="0.25">
      <c r="A15" s="62">
        <v>644932</v>
      </c>
      <c r="B15" s="63" t="s">
        <v>48</v>
      </c>
      <c r="C15" s="63" t="s">
        <v>59</v>
      </c>
      <c r="D15" s="64" t="s">
        <v>25</v>
      </c>
      <c r="H15"/>
      <c r="I15"/>
      <c r="J15"/>
    </row>
    <row r="16" spans="1:10" ht="15" x14ac:dyDescent="0.25">
      <c r="A16" s="62">
        <v>644933</v>
      </c>
      <c r="B16" s="63" t="s">
        <v>48</v>
      </c>
      <c r="C16" s="63" t="s">
        <v>60</v>
      </c>
      <c r="D16" s="64" t="s">
        <v>25</v>
      </c>
      <c r="H16"/>
      <c r="I16"/>
      <c r="J16"/>
    </row>
    <row r="17" spans="1:10" ht="15" x14ac:dyDescent="0.25">
      <c r="A17" s="62">
        <v>644934</v>
      </c>
      <c r="B17" s="63" t="s">
        <v>48</v>
      </c>
      <c r="C17" s="63" t="s">
        <v>61</v>
      </c>
      <c r="D17" s="64" t="s">
        <v>25</v>
      </c>
      <c r="H17"/>
      <c r="I17"/>
      <c r="J17"/>
    </row>
    <row r="18" spans="1:10" ht="15" x14ac:dyDescent="0.25">
      <c r="A18" s="62">
        <v>644935</v>
      </c>
      <c r="B18" s="63" t="s">
        <v>48</v>
      </c>
      <c r="C18" s="63" t="s">
        <v>62</v>
      </c>
      <c r="D18" s="64" t="s">
        <v>25</v>
      </c>
      <c r="H18"/>
      <c r="I18"/>
      <c r="J18"/>
    </row>
    <row r="19" spans="1:10" ht="15" x14ac:dyDescent="0.25">
      <c r="A19" s="62">
        <v>644936</v>
      </c>
      <c r="B19" s="63" t="s">
        <v>48</v>
      </c>
      <c r="C19" s="63" t="s">
        <v>63</v>
      </c>
      <c r="D19" s="64" t="s">
        <v>25</v>
      </c>
      <c r="H19"/>
      <c r="I19"/>
      <c r="J19"/>
    </row>
    <row r="20" spans="1:10" ht="15" x14ac:dyDescent="0.25">
      <c r="A20" s="62">
        <v>644937</v>
      </c>
      <c r="B20" s="63" t="s">
        <v>48</v>
      </c>
      <c r="C20" s="63" t="s">
        <v>64</v>
      </c>
      <c r="D20" s="64" t="s">
        <v>25</v>
      </c>
      <c r="H20"/>
      <c r="I20"/>
      <c r="J20"/>
    </row>
    <row r="21" spans="1:10" ht="15" x14ac:dyDescent="0.25">
      <c r="A21" s="62">
        <v>645124</v>
      </c>
      <c r="B21" s="63" t="s">
        <v>48</v>
      </c>
      <c r="C21" s="63" t="s">
        <v>65</v>
      </c>
      <c r="D21" s="64" t="s">
        <v>25</v>
      </c>
      <c r="H21"/>
      <c r="I21"/>
      <c r="J21"/>
    </row>
    <row r="22" spans="1:10" ht="15" x14ac:dyDescent="0.25">
      <c r="A22" s="62">
        <v>645125</v>
      </c>
      <c r="B22" s="63" t="s">
        <v>48</v>
      </c>
      <c r="C22" s="63" t="s">
        <v>66</v>
      </c>
      <c r="D22" s="64" t="s">
        <v>25</v>
      </c>
      <c r="H22"/>
      <c r="I22"/>
      <c r="J22"/>
    </row>
    <row r="23" spans="1:10" ht="15" x14ac:dyDescent="0.25">
      <c r="A23" s="62">
        <v>728129</v>
      </c>
      <c r="B23" s="63" t="s">
        <v>67</v>
      </c>
      <c r="C23" s="63" t="s">
        <v>68</v>
      </c>
      <c r="D23" s="64" t="s">
        <v>40</v>
      </c>
      <c r="H23"/>
      <c r="I23"/>
      <c r="J23"/>
    </row>
    <row r="24" spans="1:10" ht="15" x14ac:dyDescent="0.25">
      <c r="A24" s="62">
        <v>728107</v>
      </c>
      <c r="B24" s="63" t="s">
        <v>67</v>
      </c>
      <c r="C24" s="63" t="s">
        <v>69</v>
      </c>
      <c r="D24" s="64" t="s">
        <v>40</v>
      </c>
      <c r="H24"/>
      <c r="I24"/>
      <c r="J24"/>
    </row>
    <row r="25" spans="1:10" x14ac:dyDescent="0.2">
      <c r="A25" s="62">
        <v>695935</v>
      </c>
      <c r="B25" s="63" t="s">
        <v>55</v>
      </c>
      <c r="C25" s="63" t="s">
        <v>70</v>
      </c>
      <c r="D25" s="64" t="s">
        <v>40</v>
      </c>
    </row>
    <row r="26" spans="1:10" x14ac:dyDescent="0.2">
      <c r="A26" s="62">
        <v>685250</v>
      </c>
      <c r="B26" s="63" t="s">
        <v>48</v>
      </c>
      <c r="C26" s="63" t="s">
        <v>71</v>
      </c>
      <c r="D26" s="64" t="s">
        <v>40</v>
      </c>
    </row>
    <row r="27" spans="1:10" x14ac:dyDescent="0.2">
      <c r="A27" s="62">
        <v>685246</v>
      </c>
      <c r="B27" s="63" t="s">
        <v>48</v>
      </c>
      <c r="C27" s="63" t="s">
        <v>72</v>
      </c>
      <c r="D27" s="64" t="s">
        <v>40</v>
      </c>
    </row>
    <row r="28" spans="1:10" x14ac:dyDescent="0.2">
      <c r="A28" s="62">
        <v>645280</v>
      </c>
      <c r="B28" s="63" t="s">
        <v>48</v>
      </c>
      <c r="C28" s="63" t="s">
        <v>73</v>
      </c>
      <c r="D28" s="64" t="s">
        <v>74</v>
      </c>
    </row>
    <row r="29" spans="1:10" x14ac:dyDescent="0.2">
      <c r="A29" s="62">
        <v>620404</v>
      </c>
      <c r="B29" s="63" t="s">
        <v>48</v>
      </c>
      <c r="C29" s="63" t="s">
        <v>75</v>
      </c>
      <c r="D29" s="64" t="s">
        <v>74</v>
      </c>
    </row>
    <row r="30" spans="1:10" x14ac:dyDescent="0.2">
      <c r="A30" s="62">
        <v>565761</v>
      </c>
      <c r="B30" s="63" t="s">
        <v>48</v>
      </c>
      <c r="C30" s="63" t="s">
        <v>76</v>
      </c>
      <c r="D30" s="64" t="s">
        <v>74</v>
      </c>
    </row>
    <row r="31" spans="1:10" x14ac:dyDescent="0.2">
      <c r="A31" s="62">
        <v>561808</v>
      </c>
      <c r="B31" s="63" t="s">
        <v>48</v>
      </c>
      <c r="C31" s="63" t="s">
        <v>77</v>
      </c>
      <c r="D31" s="64" t="s">
        <v>74</v>
      </c>
    </row>
    <row r="32" spans="1:10" ht="13.5" thickBot="1" x14ac:dyDescent="0.25">
      <c r="A32" s="65">
        <v>561803</v>
      </c>
      <c r="B32" s="66" t="s">
        <v>48</v>
      </c>
      <c r="C32" s="66" t="s">
        <v>78</v>
      </c>
      <c r="D32" s="67" t="s">
        <v>74</v>
      </c>
    </row>
    <row r="33" x14ac:dyDescent="0.2"/>
  </sheetData>
  <sheetProtection formatCells="0" formatColumns="0" formatRows="0" sort="0" autoFilter="0" pivotTables="0"/>
  <hyperlinks>
    <hyperlink ref="A1" location="'Question Paper for Excel'!A1" display="Home"/>
    <hyperlink ref="B1" location="'Question 12'!A1" display="Next Question"/>
    <hyperlink ref="C1" location="'Question 10'!A1" display="Previous Question"/>
  </hyperlink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
  <sheetViews>
    <sheetView showGridLines="0" workbookViewId="0">
      <selection activeCell="H9" sqref="H9:H24"/>
    </sheetView>
  </sheetViews>
  <sheetFormatPr defaultColWidth="9.140625" defaultRowHeight="12.75" x14ac:dyDescent="0.2"/>
  <cols>
    <col min="1" max="1" width="19.42578125" style="1" bestFit="1" customWidth="1"/>
    <col min="2" max="2" width="13.85546875" style="1" bestFit="1" customWidth="1"/>
    <col min="3" max="3" width="16.140625" style="1" bestFit="1" customWidth="1"/>
    <col min="4" max="4" width="9.140625" style="1"/>
    <col min="5" max="5" width="17.42578125" style="1" bestFit="1" customWidth="1"/>
    <col min="6" max="6" width="22.42578125" style="1" bestFit="1" customWidth="1"/>
    <col min="7" max="7" width="19.42578125" style="1" bestFit="1" customWidth="1"/>
    <col min="8" max="16384" width="9.140625" style="1"/>
  </cols>
  <sheetData>
    <row r="1" spans="1:8" ht="15.75" x14ac:dyDescent="0.25">
      <c r="A1" s="19" t="s">
        <v>18</v>
      </c>
      <c r="B1" s="20" t="s">
        <v>19</v>
      </c>
      <c r="C1" s="52" t="s">
        <v>43</v>
      </c>
    </row>
    <row r="3" spans="1:8" x14ac:dyDescent="0.2">
      <c r="A3" s="68" t="s">
        <v>44</v>
      </c>
      <c r="B3" s="12" t="s">
        <v>130</v>
      </c>
    </row>
    <row r="4" spans="1:8" x14ac:dyDescent="0.2">
      <c r="A4" s="68"/>
    </row>
    <row r="5" spans="1:8" ht="13.5" thickBot="1" x14ac:dyDescent="0.25">
      <c r="A5" s="68"/>
    </row>
    <row r="6" spans="1:8" ht="13.5" thickBot="1" x14ac:dyDescent="0.25">
      <c r="A6" s="21" t="s">
        <v>23</v>
      </c>
      <c r="B6" s="23" t="s">
        <v>131</v>
      </c>
    </row>
    <row r="7" spans="1:8" ht="13.5" thickBot="1" x14ac:dyDescent="0.25">
      <c r="A7" s="69" t="s">
        <v>25</v>
      </c>
      <c r="B7" s="70">
        <v>10</v>
      </c>
    </row>
    <row r="8" spans="1:8" ht="13.5" thickBot="1" x14ac:dyDescent="0.25">
      <c r="A8" s="71" t="s">
        <v>40</v>
      </c>
      <c r="B8" s="72">
        <v>11</v>
      </c>
      <c r="E8" s="73" t="s">
        <v>21</v>
      </c>
      <c r="F8" s="74" t="s">
        <v>22</v>
      </c>
      <c r="G8" s="51" t="s">
        <v>23</v>
      </c>
      <c r="H8" s="75" t="s">
        <v>131</v>
      </c>
    </row>
    <row r="9" spans="1:8" ht="13.5" thickBot="1" x14ac:dyDescent="0.25">
      <c r="A9" s="71" t="s">
        <v>132</v>
      </c>
      <c r="B9" s="72" t="s">
        <v>133</v>
      </c>
      <c r="E9" s="76">
        <v>728107</v>
      </c>
      <c r="F9" s="63" t="s">
        <v>69</v>
      </c>
      <c r="G9" s="64" t="s">
        <v>40</v>
      </c>
      <c r="H9" s="126">
        <f>IF(G9=$A$7,$B$7,IF(G9=$A$8,$B$8,$B$9))</f>
        <v>11</v>
      </c>
    </row>
    <row r="10" spans="1:8" x14ac:dyDescent="0.2">
      <c r="E10" s="76">
        <v>617446</v>
      </c>
      <c r="F10" s="63" t="s">
        <v>56</v>
      </c>
      <c r="G10" s="64" t="s">
        <v>25</v>
      </c>
      <c r="H10" s="126">
        <f t="shared" ref="H10:H24" si="0">IF(G10=$A$7,$B$7,IF(G10=$A$8,$B$8,$B$9))</f>
        <v>10</v>
      </c>
    </row>
    <row r="11" spans="1:8" x14ac:dyDescent="0.2">
      <c r="E11" s="76">
        <v>695935</v>
      </c>
      <c r="F11" s="63" t="s">
        <v>70</v>
      </c>
      <c r="G11" s="64" t="s">
        <v>40</v>
      </c>
      <c r="H11" s="126">
        <f t="shared" si="0"/>
        <v>11</v>
      </c>
    </row>
    <row r="12" spans="1:8" x14ac:dyDescent="0.2">
      <c r="E12" s="76">
        <v>644933</v>
      </c>
      <c r="F12" s="63" t="s">
        <v>60</v>
      </c>
      <c r="G12" s="64" t="s">
        <v>25</v>
      </c>
      <c r="H12" s="126">
        <f t="shared" si="0"/>
        <v>10</v>
      </c>
    </row>
    <row r="13" spans="1:8" x14ac:dyDescent="0.2">
      <c r="E13" s="76">
        <v>728129</v>
      </c>
      <c r="F13" s="63" t="s">
        <v>68</v>
      </c>
      <c r="G13" s="64" t="s">
        <v>40</v>
      </c>
      <c r="H13" s="126">
        <f t="shared" si="0"/>
        <v>11</v>
      </c>
    </row>
    <row r="14" spans="1:8" x14ac:dyDescent="0.2">
      <c r="E14" s="76">
        <v>644935</v>
      </c>
      <c r="F14" s="63" t="s">
        <v>62</v>
      </c>
      <c r="G14" s="64" t="s">
        <v>25</v>
      </c>
      <c r="H14" s="126">
        <f t="shared" si="0"/>
        <v>10</v>
      </c>
    </row>
    <row r="15" spans="1:8" x14ac:dyDescent="0.2">
      <c r="E15" s="76">
        <v>645124</v>
      </c>
      <c r="F15" s="63" t="s">
        <v>65</v>
      </c>
      <c r="G15" s="64" t="s">
        <v>25</v>
      </c>
      <c r="H15" s="126">
        <f t="shared" si="0"/>
        <v>10</v>
      </c>
    </row>
    <row r="16" spans="1:8" x14ac:dyDescent="0.2">
      <c r="E16" s="76">
        <v>644937</v>
      </c>
      <c r="F16" s="63" t="s">
        <v>64</v>
      </c>
      <c r="G16" s="64" t="s">
        <v>25</v>
      </c>
      <c r="H16" s="126">
        <f t="shared" si="0"/>
        <v>10</v>
      </c>
    </row>
    <row r="17" spans="5:8" x14ac:dyDescent="0.2">
      <c r="E17" s="76">
        <v>644934</v>
      </c>
      <c r="F17" s="63" t="s">
        <v>61</v>
      </c>
      <c r="G17" s="64" t="s">
        <v>25</v>
      </c>
      <c r="H17" s="126">
        <f t="shared" si="0"/>
        <v>10</v>
      </c>
    </row>
    <row r="18" spans="5:8" x14ac:dyDescent="0.2">
      <c r="E18" s="76">
        <v>685246</v>
      </c>
      <c r="F18" s="63" t="s">
        <v>72</v>
      </c>
      <c r="G18" s="64" t="s">
        <v>40</v>
      </c>
      <c r="H18" s="126">
        <f t="shared" si="0"/>
        <v>11</v>
      </c>
    </row>
    <row r="19" spans="5:8" x14ac:dyDescent="0.2">
      <c r="E19" s="76">
        <v>685250</v>
      </c>
      <c r="F19" s="63" t="s">
        <v>71</v>
      </c>
      <c r="G19" s="64" t="s">
        <v>40</v>
      </c>
      <c r="H19" s="126">
        <f t="shared" si="0"/>
        <v>11</v>
      </c>
    </row>
    <row r="20" spans="5:8" x14ac:dyDescent="0.2">
      <c r="E20" s="76">
        <v>645125</v>
      </c>
      <c r="F20" s="63" t="s">
        <v>66</v>
      </c>
      <c r="G20" s="64" t="s">
        <v>25</v>
      </c>
      <c r="H20" s="126">
        <f t="shared" si="0"/>
        <v>10</v>
      </c>
    </row>
    <row r="21" spans="5:8" x14ac:dyDescent="0.2">
      <c r="E21" s="76">
        <v>644931</v>
      </c>
      <c r="F21" s="63" t="s">
        <v>58</v>
      </c>
      <c r="G21" s="64" t="s">
        <v>25</v>
      </c>
      <c r="H21" s="126">
        <f t="shared" si="0"/>
        <v>10</v>
      </c>
    </row>
    <row r="22" spans="5:8" x14ac:dyDescent="0.2">
      <c r="E22" s="76">
        <v>644932</v>
      </c>
      <c r="F22" s="63" t="s">
        <v>59</v>
      </c>
      <c r="G22" s="64" t="s">
        <v>25</v>
      </c>
      <c r="H22" s="126">
        <f t="shared" si="0"/>
        <v>10</v>
      </c>
    </row>
    <row r="23" spans="5:8" ht="13.5" thickBot="1" x14ac:dyDescent="0.25">
      <c r="E23" s="77">
        <v>644936</v>
      </c>
      <c r="F23" s="66" t="s">
        <v>63</v>
      </c>
      <c r="G23" s="67" t="s">
        <v>25</v>
      </c>
      <c r="H23" s="126">
        <f t="shared" si="0"/>
        <v>10</v>
      </c>
    </row>
    <row r="24" spans="5:8" ht="13.5" thickBot="1" x14ac:dyDescent="0.25">
      <c r="E24" s="77">
        <v>665373</v>
      </c>
      <c r="F24" s="78" t="s">
        <v>134</v>
      </c>
      <c r="G24" s="79" t="s">
        <v>132</v>
      </c>
      <c r="H24" s="126" t="str">
        <f t="shared" si="0"/>
        <v>NA</v>
      </c>
    </row>
  </sheetData>
  <hyperlinks>
    <hyperlink ref="A1" location="'Question Paper for Excel'!A1" display="Home"/>
    <hyperlink ref="B1" location="'Question 13'!A1" display="Next Question"/>
    <hyperlink ref="C1" location="'Question 11'!A1" display="Previous Question"/>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31"/>
  <sheetViews>
    <sheetView showGridLines="0" workbookViewId="0">
      <selection activeCell="G2" sqref="G2:G31"/>
    </sheetView>
  </sheetViews>
  <sheetFormatPr defaultColWidth="9.140625" defaultRowHeight="12.75" x14ac:dyDescent="0.2"/>
  <cols>
    <col min="1" max="1" width="9" style="1" bestFit="1" customWidth="1"/>
    <col min="2" max="2" width="16.7109375" style="1" customWidth="1"/>
    <col min="3" max="3" width="16.140625" style="1" bestFit="1" customWidth="1"/>
    <col min="4" max="4" width="14.7109375" style="1" customWidth="1"/>
    <col min="5" max="5" width="19.5703125" style="1" customWidth="1"/>
    <col min="6" max="6" width="12.42578125" style="1" bestFit="1" customWidth="1"/>
    <col min="7" max="7" width="15.7109375" style="1" bestFit="1" customWidth="1"/>
    <col min="8" max="16384" width="9.140625" style="1"/>
  </cols>
  <sheetData>
    <row r="1" spans="1:7" ht="15.75" x14ac:dyDescent="0.25">
      <c r="A1" s="19" t="s">
        <v>18</v>
      </c>
      <c r="B1" s="20" t="s">
        <v>19</v>
      </c>
      <c r="C1" s="52" t="s">
        <v>43</v>
      </c>
      <c r="F1" s="57" t="s">
        <v>135</v>
      </c>
      <c r="G1" s="57" t="s">
        <v>136</v>
      </c>
    </row>
    <row r="2" spans="1:7" x14ac:dyDescent="0.2">
      <c r="F2" s="37">
        <v>1.1450979999999999</v>
      </c>
      <c r="G2" s="127">
        <f>ROUND(F2,2)</f>
        <v>1.1499999999999999</v>
      </c>
    </row>
    <row r="3" spans="1:7" x14ac:dyDescent="0.2">
      <c r="A3" s="12" t="s">
        <v>137</v>
      </c>
      <c r="F3" s="37">
        <v>0.98039209999999999</v>
      </c>
      <c r="G3" s="127">
        <f t="shared" ref="G3:G31" si="0">ROUND(F3,2)</f>
        <v>0.98</v>
      </c>
    </row>
    <row r="4" spans="1:7" x14ac:dyDescent="0.2">
      <c r="F4" s="37">
        <v>1.3745098</v>
      </c>
      <c r="G4" s="127">
        <f t="shared" si="0"/>
        <v>1.37</v>
      </c>
    </row>
    <row r="5" spans="1:7" x14ac:dyDescent="0.2">
      <c r="A5" s="12" t="s">
        <v>138</v>
      </c>
      <c r="F5" s="37">
        <v>1.1352941000000001</v>
      </c>
      <c r="G5" s="127">
        <f t="shared" si="0"/>
        <v>1.1399999999999999</v>
      </c>
    </row>
    <row r="6" spans="1:7" x14ac:dyDescent="0.2">
      <c r="F6" s="37">
        <v>0.96274499999999996</v>
      </c>
      <c r="G6" s="127">
        <f t="shared" si="0"/>
        <v>0.96</v>
      </c>
    </row>
    <row r="7" spans="1:7" x14ac:dyDescent="0.2">
      <c r="F7" s="37">
        <v>0.6039215</v>
      </c>
      <c r="G7" s="127">
        <f t="shared" si="0"/>
        <v>0.6</v>
      </c>
    </row>
    <row r="8" spans="1:7" x14ac:dyDescent="0.2">
      <c r="F8" s="37">
        <v>0.77450980000000003</v>
      </c>
      <c r="G8" s="127">
        <f t="shared" si="0"/>
        <v>0.77</v>
      </c>
    </row>
    <row r="9" spans="1:7" x14ac:dyDescent="0.2">
      <c r="F9" s="37">
        <v>0.98627450000000005</v>
      </c>
      <c r="G9" s="127">
        <f t="shared" si="0"/>
        <v>0.99</v>
      </c>
    </row>
    <row r="10" spans="1:7" x14ac:dyDescent="0.2">
      <c r="F10" s="37">
        <v>0.14117640000000001</v>
      </c>
      <c r="G10" s="127">
        <f t="shared" si="0"/>
        <v>0.14000000000000001</v>
      </c>
    </row>
    <row r="11" spans="1:7" x14ac:dyDescent="0.2">
      <c r="F11" s="37">
        <v>1.0254901000000001</v>
      </c>
      <c r="G11" s="127">
        <f t="shared" si="0"/>
        <v>1.03</v>
      </c>
    </row>
    <row r="12" spans="1:7" x14ac:dyDescent="0.2">
      <c r="F12" s="37">
        <v>0.1803921</v>
      </c>
      <c r="G12" s="127">
        <f t="shared" si="0"/>
        <v>0.18</v>
      </c>
    </row>
    <row r="13" spans="1:7" x14ac:dyDescent="0.2">
      <c r="F13" s="37">
        <v>1.0333333</v>
      </c>
      <c r="G13" s="127">
        <f t="shared" si="0"/>
        <v>1.03</v>
      </c>
    </row>
    <row r="14" spans="1:7" x14ac:dyDescent="0.2">
      <c r="F14" s="37">
        <v>0.145098</v>
      </c>
      <c r="G14" s="127">
        <f t="shared" si="0"/>
        <v>0.15</v>
      </c>
    </row>
    <row r="15" spans="1:7" x14ac:dyDescent="0.2">
      <c r="F15" s="37">
        <v>0.90588230000000003</v>
      </c>
      <c r="G15" s="127">
        <f t="shared" si="0"/>
        <v>0.91</v>
      </c>
    </row>
    <row r="16" spans="1:7" x14ac:dyDescent="0.2">
      <c r="F16" s="37">
        <v>1.1000000000000001</v>
      </c>
      <c r="G16" s="127">
        <f t="shared" si="0"/>
        <v>1.1000000000000001</v>
      </c>
    </row>
    <row r="17" spans="6:7" x14ac:dyDescent="0.2">
      <c r="F17" s="37">
        <v>0.56274500000000005</v>
      </c>
      <c r="G17" s="127">
        <f t="shared" si="0"/>
        <v>0.56000000000000005</v>
      </c>
    </row>
    <row r="18" spans="6:7" x14ac:dyDescent="0.2">
      <c r="F18" s="37">
        <v>0.39215680000000003</v>
      </c>
      <c r="G18" s="127">
        <f t="shared" si="0"/>
        <v>0.39</v>
      </c>
    </row>
    <row r="19" spans="6:7" x14ac:dyDescent="0.2">
      <c r="F19" s="37">
        <v>1.1058823</v>
      </c>
      <c r="G19" s="127">
        <f t="shared" si="0"/>
        <v>1.1100000000000001</v>
      </c>
    </row>
    <row r="20" spans="6:7" x14ac:dyDescent="0.2">
      <c r="F20" s="37">
        <v>1.3039215</v>
      </c>
      <c r="G20" s="127">
        <f t="shared" si="0"/>
        <v>1.3</v>
      </c>
    </row>
    <row r="21" spans="6:7" x14ac:dyDescent="0.2">
      <c r="F21" s="37">
        <v>1.0764705000000001</v>
      </c>
      <c r="G21" s="127">
        <f t="shared" si="0"/>
        <v>1.08</v>
      </c>
    </row>
    <row r="22" spans="6:7" x14ac:dyDescent="0.2">
      <c r="F22" s="37">
        <v>1.1313724999999999</v>
      </c>
      <c r="G22" s="127">
        <f t="shared" si="0"/>
        <v>1.1299999999999999</v>
      </c>
    </row>
    <row r="23" spans="6:7" x14ac:dyDescent="0.2">
      <c r="F23" s="37">
        <v>0.92549009999999998</v>
      </c>
      <c r="G23" s="127">
        <f t="shared" si="0"/>
        <v>0.93</v>
      </c>
    </row>
    <row r="24" spans="6:7" x14ac:dyDescent="0.2">
      <c r="F24" s="37">
        <v>1.1490195999999999</v>
      </c>
      <c r="G24" s="127">
        <f t="shared" si="0"/>
        <v>1.1499999999999999</v>
      </c>
    </row>
    <row r="25" spans="6:7" x14ac:dyDescent="0.2">
      <c r="F25" s="37">
        <v>1.0137254</v>
      </c>
      <c r="G25" s="127">
        <f t="shared" si="0"/>
        <v>1.01</v>
      </c>
    </row>
    <row r="26" spans="6:7" x14ac:dyDescent="0.2">
      <c r="F26" s="37">
        <v>1.0156862</v>
      </c>
      <c r="G26" s="127">
        <f t="shared" si="0"/>
        <v>1.02</v>
      </c>
    </row>
    <row r="27" spans="6:7" x14ac:dyDescent="0.2">
      <c r="F27" s="37">
        <v>0.99607840000000003</v>
      </c>
      <c r="G27" s="127">
        <f t="shared" si="0"/>
        <v>1</v>
      </c>
    </row>
    <row r="28" spans="6:7" x14ac:dyDescent="0.2">
      <c r="F28" s="37">
        <v>1.0372549</v>
      </c>
      <c r="G28" s="127">
        <f t="shared" si="0"/>
        <v>1.04</v>
      </c>
    </row>
    <row r="29" spans="6:7" x14ac:dyDescent="0.2">
      <c r="F29" s="37">
        <v>1.1784313</v>
      </c>
      <c r="G29" s="127">
        <f t="shared" si="0"/>
        <v>1.18</v>
      </c>
    </row>
    <row r="30" spans="6:7" x14ac:dyDescent="0.2">
      <c r="F30" s="37">
        <v>1.1352941000000001</v>
      </c>
      <c r="G30" s="127">
        <f t="shared" si="0"/>
        <v>1.1399999999999999</v>
      </c>
    </row>
    <row r="31" spans="6:7" x14ac:dyDescent="0.2">
      <c r="F31" s="37">
        <v>1.1196078</v>
      </c>
      <c r="G31" s="127">
        <f t="shared" si="0"/>
        <v>1.1200000000000001</v>
      </c>
    </row>
  </sheetData>
  <hyperlinks>
    <hyperlink ref="A1" location="'Question Paper for Excel'!A1" display="Home"/>
    <hyperlink ref="B1" location="'Question 14'!A1" display="Next Question"/>
    <hyperlink ref="C1" location="'Question 12'!A1" display="Previous Question"/>
  </hyperlink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32"/>
  <sheetViews>
    <sheetView showGridLines="0" showRowColHeaders="0" workbookViewId="0">
      <selection activeCell="C10" sqref="C10"/>
    </sheetView>
  </sheetViews>
  <sheetFormatPr defaultColWidth="9.140625" defaultRowHeight="12.75" x14ac:dyDescent="0.2"/>
  <cols>
    <col min="1" max="1" width="9.5703125" style="1" bestFit="1" customWidth="1"/>
    <col min="2" max="2" width="13.85546875" style="1" bestFit="1" customWidth="1"/>
    <col min="3" max="3" width="17.7109375" style="1" bestFit="1" customWidth="1"/>
    <col min="4" max="9" width="9.140625" style="1"/>
    <col min="10" max="10" width="12.42578125" style="1" bestFit="1" customWidth="1"/>
    <col min="11" max="16384" width="9.140625" style="1"/>
  </cols>
  <sheetData>
    <row r="1" spans="1:11" ht="15.75" x14ac:dyDescent="0.25">
      <c r="A1" s="19" t="s">
        <v>18</v>
      </c>
      <c r="B1" s="20" t="s">
        <v>19</v>
      </c>
      <c r="C1" s="20" t="s">
        <v>43</v>
      </c>
    </row>
    <row r="2" spans="1:11" x14ac:dyDescent="0.2">
      <c r="J2" s="57" t="s">
        <v>135</v>
      </c>
    </row>
    <row r="3" spans="1:11" x14ac:dyDescent="0.2">
      <c r="A3" s="12" t="s">
        <v>139</v>
      </c>
      <c r="B3" s="12" t="s">
        <v>140</v>
      </c>
      <c r="I3" s="80"/>
      <c r="J3" s="81">
        <v>99.623525999999998</v>
      </c>
      <c r="K3" s="82"/>
    </row>
    <row r="4" spans="1:11" x14ac:dyDescent="0.2">
      <c r="J4" s="81">
        <v>83.333328499999993</v>
      </c>
      <c r="K4" s="82"/>
    </row>
    <row r="5" spans="1:11" x14ac:dyDescent="0.2">
      <c r="C5" s="80"/>
      <c r="J5" s="81">
        <v>86.594117400000002</v>
      </c>
      <c r="K5" s="82"/>
    </row>
    <row r="6" spans="1:11" ht="13.5" thickBot="1" x14ac:dyDescent="0.25">
      <c r="A6" s="12" t="s">
        <v>141</v>
      </c>
      <c r="J6" s="81">
        <v>63.576469600000003</v>
      </c>
      <c r="K6" s="82"/>
    </row>
    <row r="7" spans="1:11" ht="13.5" thickBot="1" x14ac:dyDescent="0.25">
      <c r="B7" s="83" t="s">
        <v>142</v>
      </c>
      <c r="C7" s="128">
        <f>MAX(J3:J31)</f>
        <v>106.57057950000001</v>
      </c>
      <c r="J7" s="81">
        <v>77.019599999999997</v>
      </c>
      <c r="K7" s="82"/>
    </row>
    <row r="8" spans="1:11" ht="13.5" thickBot="1" x14ac:dyDescent="0.25">
      <c r="B8" s="83" t="s">
        <v>143</v>
      </c>
      <c r="C8" s="128">
        <f>MIN(J3:J32)</f>
        <v>9.1764660000000013</v>
      </c>
      <c r="J8" s="81">
        <v>45.898034000000003</v>
      </c>
      <c r="K8" s="82"/>
    </row>
    <row r="9" spans="1:11" ht="13.5" thickBot="1" x14ac:dyDescent="0.25">
      <c r="B9" s="84" t="s">
        <v>144</v>
      </c>
      <c r="C9" s="128">
        <f>AVERAGE(J2:J32)</f>
        <v>66.170976713333332</v>
      </c>
      <c r="J9" s="81">
        <v>51.117646800000003</v>
      </c>
      <c r="K9" s="82"/>
    </row>
    <row r="10" spans="1:11" x14ac:dyDescent="0.2">
      <c r="J10" s="81">
        <v>69.039214999999999</v>
      </c>
      <c r="K10" s="82"/>
    </row>
    <row r="11" spans="1:11" x14ac:dyDescent="0.2">
      <c r="J11" s="81">
        <v>9.1764660000000013</v>
      </c>
      <c r="K11" s="82"/>
    </row>
    <row r="12" spans="1:11" x14ac:dyDescent="0.2">
      <c r="J12" s="81">
        <v>78.962737700000005</v>
      </c>
      <c r="K12" s="82"/>
    </row>
    <row r="13" spans="1:11" x14ac:dyDescent="0.2">
      <c r="J13" s="81">
        <v>12.627447</v>
      </c>
      <c r="K13" s="82"/>
    </row>
    <row r="14" spans="1:11" x14ac:dyDescent="0.2">
      <c r="J14" s="81">
        <v>58.899998099999998</v>
      </c>
      <c r="K14" s="82"/>
    </row>
    <row r="15" spans="1:11" x14ac:dyDescent="0.2">
      <c r="J15" s="81">
        <v>9.721566000000001</v>
      </c>
      <c r="K15" s="82"/>
    </row>
    <row r="16" spans="1:11" x14ac:dyDescent="0.2">
      <c r="J16" s="81">
        <v>46.1999973</v>
      </c>
      <c r="K16" s="82"/>
    </row>
    <row r="17" spans="10:11" x14ac:dyDescent="0.2">
      <c r="J17" s="81">
        <v>92.4</v>
      </c>
      <c r="K17" s="82"/>
    </row>
    <row r="18" spans="10:11" x14ac:dyDescent="0.2">
      <c r="J18" s="81">
        <v>50.084305000000008</v>
      </c>
      <c r="K18" s="82"/>
    </row>
    <row r="19" spans="10:11" x14ac:dyDescent="0.2">
      <c r="J19" s="81">
        <v>25.490192</v>
      </c>
      <c r="K19" s="82"/>
    </row>
    <row r="20" spans="10:11" x14ac:dyDescent="0.2">
      <c r="J20" s="81">
        <v>63.035291100000002</v>
      </c>
      <c r="K20" s="82"/>
    </row>
    <row r="21" spans="10:11" x14ac:dyDescent="0.2">
      <c r="J21" s="81">
        <v>101.705877</v>
      </c>
      <c r="K21" s="82"/>
    </row>
    <row r="22" spans="10:11" x14ac:dyDescent="0.2">
      <c r="J22" s="81">
        <v>106.57057950000001</v>
      </c>
      <c r="K22" s="82"/>
    </row>
    <row r="23" spans="10:11" x14ac:dyDescent="0.2">
      <c r="J23" s="81">
        <v>58.831369999999993</v>
      </c>
      <c r="K23" s="82"/>
    </row>
    <row r="24" spans="10:11" x14ac:dyDescent="0.2">
      <c r="J24" s="81">
        <v>60.156856499999996</v>
      </c>
      <c r="K24" s="82"/>
    </row>
    <row r="25" spans="10:11" x14ac:dyDescent="0.2">
      <c r="J25" s="81">
        <v>88.4745092</v>
      </c>
      <c r="K25" s="82"/>
    </row>
    <row r="26" spans="10:11" x14ac:dyDescent="0.2">
      <c r="J26" s="81">
        <v>82.111757400000002</v>
      </c>
      <c r="K26" s="82"/>
    </row>
    <row r="27" spans="10:11" x14ac:dyDescent="0.2">
      <c r="J27" s="81">
        <v>68.050975399999999</v>
      </c>
      <c r="K27" s="82"/>
    </row>
    <row r="28" spans="10:11" x14ac:dyDescent="0.2">
      <c r="J28" s="81">
        <v>56.776468800000004</v>
      </c>
      <c r="K28" s="82"/>
    </row>
    <row r="29" spans="10:11" x14ac:dyDescent="0.2">
      <c r="J29" s="81">
        <v>79.8686273</v>
      </c>
      <c r="K29" s="82"/>
    </row>
    <row r="30" spans="10:11" x14ac:dyDescent="0.2">
      <c r="J30" s="81">
        <v>89.560778799999994</v>
      </c>
      <c r="K30" s="82"/>
    </row>
    <row r="31" spans="10:11" x14ac:dyDescent="0.2">
      <c r="J31" s="81">
        <v>84.011763400000007</v>
      </c>
      <c r="K31" s="82"/>
    </row>
    <row r="32" spans="10:11" x14ac:dyDescent="0.2">
      <c r="J32" s="81">
        <v>86.209800600000008</v>
      </c>
      <c r="K32" s="82"/>
    </row>
  </sheetData>
  <hyperlinks>
    <hyperlink ref="A1" location="'Question Paper for Excel'!A1" display="Home"/>
    <hyperlink ref="B1" location="'Question 15'!A1" display="Next Question"/>
    <hyperlink ref="C1" location="'Question 13'!A1" display="Previous Question"/>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6"/>
  <sheetViews>
    <sheetView showGridLines="0" workbookViewId="0">
      <selection activeCell="B7" sqref="B7"/>
    </sheetView>
  </sheetViews>
  <sheetFormatPr defaultColWidth="9.140625" defaultRowHeight="12.75" x14ac:dyDescent="0.2"/>
  <cols>
    <col min="1" max="1" width="9" style="1" bestFit="1" customWidth="1"/>
    <col min="2" max="2" width="17.7109375" style="1" bestFit="1" customWidth="1"/>
    <col min="3" max="16384" width="9.140625" style="1"/>
  </cols>
  <sheetData>
    <row r="1" spans="1:11" ht="15.75" x14ac:dyDescent="0.25">
      <c r="A1" s="19" t="s">
        <v>18</v>
      </c>
      <c r="B1" s="52" t="s">
        <v>19</v>
      </c>
      <c r="C1" s="52" t="s">
        <v>43</v>
      </c>
    </row>
    <row r="3" spans="1:11" x14ac:dyDescent="0.2">
      <c r="K3" s="85"/>
    </row>
    <row r="6" spans="1:11" x14ac:dyDescent="0.2">
      <c r="A6" s="12" t="s">
        <v>44</v>
      </c>
      <c r="B6" s="12" t="s">
        <v>145</v>
      </c>
    </row>
  </sheetData>
  <hyperlinks>
    <hyperlink ref="A1" location="'Question Paper for Excel'!A1" display="Home"/>
    <hyperlink ref="B1" location="'Question 16'!A1" display="Next Question"/>
    <hyperlink ref="C1" location="'Question 14'!A1" display="Previous Question"/>
  </hyperlinks>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17"/>
  <sheetViews>
    <sheetView showGridLines="0" workbookViewId="0">
      <selection activeCell="B17" sqref="B17"/>
    </sheetView>
  </sheetViews>
  <sheetFormatPr defaultColWidth="9.140625" defaultRowHeight="12.75" x14ac:dyDescent="0.2"/>
  <cols>
    <col min="1" max="1" width="9" style="1" bestFit="1" customWidth="1"/>
    <col min="2" max="2" width="17.7109375" style="1" bestFit="1" customWidth="1"/>
    <col min="3" max="16384" width="9.140625" style="1"/>
  </cols>
  <sheetData>
    <row r="1" spans="1:11" ht="15.75" x14ac:dyDescent="0.25">
      <c r="A1" s="19" t="s">
        <v>18</v>
      </c>
      <c r="B1" s="52" t="s">
        <v>19</v>
      </c>
      <c r="C1" s="52" t="s">
        <v>43</v>
      </c>
    </row>
    <row r="3" spans="1:11" x14ac:dyDescent="0.2">
      <c r="K3" s="85"/>
    </row>
    <row r="6" spans="1:11" ht="12.75" customHeight="1" x14ac:dyDescent="0.25">
      <c r="A6" s="12" t="s">
        <v>147</v>
      </c>
      <c r="B6" s="87" t="s">
        <v>146</v>
      </c>
      <c r="I6" s="12" t="s">
        <v>155</v>
      </c>
    </row>
    <row r="7" spans="1:11" ht="12.75" customHeight="1" x14ac:dyDescent="0.25">
      <c r="A7" s="12"/>
      <c r="B7" s="87"/>
      <c r="I7" s="12"/>
    </row>
    <row r="8" spans="1:11" ht="12.75" customHeight="1" x14ac:dyDescent="0.25">
      <c r="A8" s="12"/>
      <c r="B8" s="87"/>
      <c r="I8" s="12"/>
    </row>
    <row r="9" spans="1:11" ht="12.75" customHeight="1" x14ac:dyDescent="0.25">
      <c r="B9" s="86"/>
      <c r="C9" s="93" t="s">
        <v>154</v>
      </c>
      <c r="D9" s="94"/>
    </row>
    <row r="10" spans="1:11" ht="12.75" customHeight="1" x14ac:dyDescent="0.25">
      <c r="B10" s="86"/>
      <c r="C10" s="92"/>
    </row>
    <row r="11" spans="1:11" ht="12.75" customHeight="1" x14ac:dyDescent="0.25">
      <c r="B11" s="86"/>
      <c r="C11" s="92"/>
    </row>
    <row r="12" spans="1:11" ht="15" x14ac:dyDescent="0.25">
      <c r="B12" s="98" t="s">
        <v>157</v>
      </c>
      <c r="C12" s="90" t="s">
        <v>148</v>
      </c>
      <c r="D12" s="98" t="s">
        <v>159</v>
      </c>
      <c r="E12" s="91" t="s">
        <v>149</v>
      </c>
    </row>
    <row r="13" spans="1:11" ht="15" x14ac:dyDescent="0.25">
      <c r="B13" s="95" t="s">
        <v>158</v>
      </c>
      <c r="C13" s="90" t="s">
        <v>150</v>
      </c>
      <c r="D13" s="98" t="s">
        <v>160</v>
      </c>
      <c r="E13" s="91" t="s">
        <v>151</v>
      </c>
    </row>
    <row r="14" spans="1:11" ht="15" x14ac:dyDescent="0.25">
      <c r="B14" s="95" t="s">
        <v>161</v>
      </c>
      <c r="C14" s="90" t="s">
        <v>152</v>
      </c>
      <c r="D14"/>
      <c r="E14"/>
    </row>
    <row r="17" spans="1:2" x14ac:dyDescent="0.2">
      <c r="A17" s="88" t="s">
        <v>153</v>
      </c>
      <c r="B17" s="89"/>
    </row>
  </sheetData>
  <hyperlinks>
    <hyperlink ref="A1" location="'Question Paper for Excel'!A1" display="Home"/>
    <hyperlink ref="D12" r:id="rId1" display="javascript: void 0;"/>
    <hyperlink ref="D13" r:id="rId2" display="javascript: void 0;"/>
    <hyperlink ref="B1" location="'Question 17'!A1" display="Next Question"/>
    <hyperlink ref="C1" location="'Question 15'!A1" display="Previous Question"/>
  </hyperlink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13"/>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7" width="9.140625" style="1"/>
    <col min="8" max="8" width="4.7109375" style="1" customWidth="1"/>
    <col min="9" max="16384" width="9.140625" style="1"/>
  </cols>
  <sheetData>
    <row r="1" spans="1:19" ht="15.75" x14ac:dyDescent="0.25">
      <c r="A1" s="19" t="s">
        <v>18</v>
      </c>
      <c r="B1" s="52" t="s">
        <v>19</v>
      </c>
      <c r="C1" s="52" t="s">
        <v>43</v>
      </c>
    </row>
    <row r="3" spans="1:19" x14ac:dyDescent="0.2">
      <c r="K3" s="85"/>
    </row>
    <row r="6" spans="1:19" ht="12.75" customHeight="1" x14ac:dyDescent="0.25">
      <c r="A6" s="12" t="s">
        <v>147</v>
      </c>
      <c r="B6" s="140" t="s">
        <v>156</v>
      </c>
      <c r="C6" s="140"/>
      <c r="D6" s="140"/>
      <c r="E6" s="140"/>
      <c r="F6" s="140"/>
      <c r="G6" s="140"/>
      <c r="H6" s="140"/>
      <c r="I6" s="140"/>
      <c r="J6" s="140"/>
      <c r="K6" s="140"/>
      <c r="L6" s="140"/>
      <c r="M6" s="140"/>
      <c r="N6" s="140"/>
      <c r="O6" s="140"/>
      <c r="P6" s="140"/>
      <c r="Q6" s="140"/>
      <c r="R6" s="140"/>
      <c r="S6" s="140"/>
    </row>
    <row r="7" spans="1:19" ht="12.75" customHeight="1" x14ac:dyDescent="0.25">
      <c r="A7" s="12"/>
      <c r="B7" s="87"/>
      <c r="I7" s="12"/>
    </row>
    <row r="8" spans="1:19" ht="12.75" customHeight="1" x14ac:dyDescent="0.25">
      <c r="A8" s="12"/>
      <c r="B8" s="87"/>
      <c r="I8" s="12"/>
    </row>
    <row r="9" spans="1:19" ht="12.75" customHeight="1" x14ac:dyDescent="0.2">
      <c r="B9" s="95" t="s">
        <v>157</v>
      </c>
      <c r="C9" s="96">
        <v>6.25</v>
      </c>
      <c r="D9" s="95" t="s">
        <v>159</v>
      </c>
      <c r="E9" s="90">
        <v>6.5</v>
      </c>
    </row>
    <row r="10" spans="1:19" ht="12.75" customHeight="1" x14ac:dyDescent="0.2">
      <c r="B10" s="95" t="s">
        <v>158</v>
      </c>
      <c r="C10" s="96">
        <v>6.75</v>
      </c>
      <c r="D10" s="95" t="s">
        <v>160</v>
      </c>
      <c r="E10" s="90">
        <v>7</v>
      </c>
    </row>
    <row r="11" spans="1:19" ht="12.75" customHeight="1" x14ac:dyDescent="0.25">
      <c r="B11" s="86"/>
      <c r="C11" s="97"/>
    </row>
    <row r="13" spans="1:19" x14ac:dyDescent="0.2">
      <c r="A13" s="88" t="s">
        <v>153</v>
      </c>
      <c r="B13" s="129"/>
    </row>
  </sheetData>
  <mergeCells count="1">
    <mergeCell ref="B6:S6"/>
  </mergeCells>
  <hyperlinks>
    <hyperlink ref="A1" location="'Question Paper for Excel'!A1" display="Home"/>
    <hyperlink ref="B10" r:id="rId1" display="javascript: void 0;"/>
    <hyperlink ref="B1" location="'Question 18'!A1" display="Next Question"/>
    <hyperlink ref="C1" location="'Question 16'!A1" display="Previous Question"/>
  </hyperlinks>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3"/>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7" width="9.140625" style="1"/>
    <col min="8" max="8" width="4.7109375" style="1" customWidth="1"/>
    <col min="9" max="16384" width="9.140625" style="1"/>
  </cols>
  <sheetData>
    <row r="1" spans="1:19" ht="15.75" x14ac:dyDescent="0.25">
      <c r="A1" s="19" t="s">
        <v>18</v>
      </c>
      <c r="B1" s="52" t="s">
        <v>19</v>
      </c>
      <c r="C1" s="52" t="s">
        <v>43</v>
      </c>
    </row>
    <row r="3" spans="1:19" x14ac:dyDescent="0.2">
      <c r="K3" s="85"/>
    </row>
    <row r="6" spans="1:19" ht="12.75" customHeight="1" x14ac:dyDescent="0.25">
      <c r="A6" s="12" t="s">
        <v>147</v>
      </c>
      <c r="B6" s="141" t="s">
        <v>162</v>
      </c>
      <c r="C6" s="140"/>
      <c r="D6" s="140"/>
      <c r="E6" s="140"/>
      <c r="F6" s="140"/>
      <c r="G6" s="140"/>
      <c r="H6" s="140"/>
      <c r="I6" s="140"/>
      <c r="J6" s="140"/>
      <c r="K6" s="140"/>
      <c r="L6" s="140"/>
      <c r="M6" s="140"/>
      <c r="N6" s="140"/>
      <c r="O6" s="140"/>
      <c r="P6" s="140"/>
      <c r="Q6" s="140"/>
      <c r="R6" s="140"/>
      <c r="S6" s="140"/>
    </row>
    <row r="7" spans="1:19" ht="12.75" customHeight="1" x14ac:dyDescent="0.25">
      <c r="A7" s="12"/>
      <c r="B7" s="87"/>
      <c r="I7" s="12"/>
    </row>
    <row r="8" spans="1:19" ht="12.75" customHeight="1" x14ac:dyDescent="0.25">
      <c r="A8" s="12"/>
      <c r="B8" s="87"/>
      <c r="I8" s="12"/>
    </row>
    <row r="9" spans="1:19" ht="12.75" customHeight="1" x14ac:dyDescent="0.25">
      <c r="B9" s="95" t="s">
        <v>157</v>
      </c>
      <c r="C9" t="s">
        <v>163</v>
      </c>
      <c r="D9" s="95" t="s">
        <v>159</v>
      </c>
      <c r="E9" t="s">
        <v>165</v>
      </c>
    </row>
    <row r="10" spans="1:19" ht="12.75" customHeight="1" x14ac:dyDescent="0.25">
      <c r="B10" s="95" t="s">
        <v>158</v>
      </c>
      <c r="C10" t="s">
        <v>164</v>
      </c>
      <c r="D10" s="95" t="s">
        <v>160</v>
      </c>
      <c r="E10" t="s">
        <v>166</v>
      </c>
    </row>
    <row r="11" spans="1:19" ht="12.75" customHeight="1" x14ac:dyDescent="0.25">
      <c r="B11" s="86"/>
      <c r="C11" s="97"/>
    </row>
    <row r="13" spans="1:19" x14ac:dyDescent="0.2">
      <c r="A13" s="88" t="s">
        <v>153</v>
      </c>
      <c r="B13" s="89"/>
    </row>
  </sheetData>
  <mergeCells count="1">
    <mergeCell ref="B6:S6"/>
  </mergeCells>
  <hyperlinks>
    <hyperlink ref="A1" location="'Question Paper for Excel'!A1" display="Home"/>
    <hyperlink ref="B10" r:id="rId1" display="javascript: void 0;"/>
    <hyperlink ref="B1" location="'Question 19'!A1" display="Next Question"/>
    <hyperlink ref="C1" location="'Question 17'!A1" display="Previous Question"/>
  </hyperlinks>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13"/>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7" width="9.140625" style="1"/>
    <col min="8" max="8" width="4.7109375" style="1" customWidth="1"/>
    <col min="9" max="16384" width="9.140625" style="1"/>
  </cols>
  <sheetData>
    <row r="1" spans="1:19" ht="15.75" x14ac:dyDescent="0.25">
      <c r="A1" s="19" t="s">
        <v>18</v>
      </c>
      <c r="B1" s="52" t="s">
        <v>19</v>
      </c>
      <c r="C1" s="52" t="s">
        <v>43</v>
      </c>
    </row>
    <row r="3" spans="1:19" x14ac:dyDescent="0.2">
      <c r="K3" s="85"/>
    </row>
    <row r="6" spans="1:19" ht="12.75" customHeight="1" x14ac:dyDescent="0.2">
      <c r="A6" s="12" t="s">
        <v>147</v>
      </c>
      <c r="B6" s="142" t="s">
        <v>167</v>
      </c>
      <c r="C6" s="143"/>
      <c r="D6" s="143"/>
      <c r="E6" s="143"/>
      <c r="F6" s="143"/>
      <c r="G6" s="143"/>
      <c r="H6" s="143"/>
      <c r="I6" s="143"/>
      <c r="J6" s="143"/>
      <c r="K6" s="143"/>
      <c r="L6" s="143"/>
      <c r="M6" s="143"/>
      <c r="N6" s="143"/>
      <c r="O6" s="143"/>
      <c r="P6" s="143"/>
      <c r="Q6" s="143"/>
      <c r="R6" s="143"/>
      <c r="S6" s="143"/>
    </row>
    <row r="7" spans="1:19" ht="12.75" customHeight="1" x14ac:dyDescent="0.25">
      <c r="A7" s="12"/>
      <c r="B7" s="87"/>
      <c r="I7" s="12"/>
    </row>
    <row r="8" spans="1:19" ht="12.75" customHeight="1" x14ac:dyDescent="0.25">
      <c r="A8" s="12"/>
      <c r="B8" s="87"/>
      <c r="I8" s="12"/>
    </row>
    <row r="9" spans="1:19" ht="12.75" customHeight="1" x14ac:dyDescent="0.2">
      <c r="B9" s="95" t="s">
        <v>157</v>
      </c>
      <c r="C9" s="96">
        <v>27</v>
      </c>
      <c r="D9" s="95" t="s">
        <v>159</v>
      </c>
      <c r="E9" s="96">
        <v>100</v>
      </c>
    </row>
    <row r="10" spans="1:19" ht="12.75" customHeight="1" x14ac:dyDescent="0.2">
      <c r="B10" s="95" t="s">
        <v>158</v>
      </c>
      <c r="C10" s="96">
        <v>125</v>
      </c>
      <c r="D10" s="95" t="s">
        <v>160</v>
      </c>
      <c r="E10" s="96">
        <v>343</v>
      </c>
    </row>
    <row r="11" spans="1:19" ht="12.75" customHeight="1" x14ac:dyDescent="0.25">
      <c r="B11" s="86"/>
      <c r="C11" s="97"/>
    </row>
    <row r="13" spans="1:19" x14ac:dyDescent="0.2">
      <c r="A13" s="88" t="s">
        <v>153</v>
      </c>
      <c r="B13" s="89"/>
    </row>
  </sheetData>
  <mergeCells count="1">
    <mergeCell ref="B6:S6"/>
  </mergeCells>
  <hyperlinks>
    <hyperlink ref="A1" location="'Question Paper for Excel'!A1" display="Home"/>
    <hyperlink ref="B10" r:id="rId1" display="javascript: void 0;"/>
    <hyperlink ref="B1" location="'Question 20'!A1" display="Next Question"/>
    <hyperlink ref="C1" location="'Question 18'!A1" display="Previous Question"/>
  </hyperlinks>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S15"/>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6" width="9.140625" style="1"/>
    <col min="7" max="7" width="16.5703125" style="1" bestFit="1" customWidth="1"/>
    <col min="8" max="16384" width="9.140625" style="1"/>
  </cols>
  <sheetData>
    <row r="1" spans="1:19" ht="15.75" x14ac:dyDescent="0.25">
      <c r="A1" s="19" t="s">
        <v>18</v>
      </c>
      <c r="B1" s="52" t="s">
        <v>43</v>
      </c>
    </row>
    <row r="3" spans="1:19" x14ac:dyDescent="0.2">
      <c r="K3" s="85"/>
    </row>
    <row r="6" spans="1:19" ht="15.75" x14ac:dyDescent="0.2">
      <c r="A6" s="12" t="s">
        <v>44</v>
      </c>
      <c r="B6" s="142" t="s">
        <v>172</v>
      </c>
      <c r="C6" s="143" t="s">
        <v>171</v>
      </c>
      <c r="D6" s="143" t="s">
        <v>171</v>
      </c>
      <c r="E6" s="143" t="s">
        <v>171</v>
      </c>
      <c r="F6" s="143" t="s">
        <v>171</v>
      </c>
      <c r="G6" s="143" t="s">
        <v>171</v>
      </c>
      <c r="H6" s="143" t="s">
        <v>171</v>
      </c>
      <c r="I6" s="143" t="s">
        <v>171</v>
      </c>
      <c r="J6" s="143" t="s">
        <v>171</v>
      </c>
      <c r="K6" s="143" t="s">
        <v>171</v>
      </c>
      <c r="L6" s="143" t="s">
        <v>171</v>
      </c>
      <c r="M6" s="143" t="s">
        <v>171</v>
      </c>
      <c r="N6" s="143" t="s">
        <v>171</v>
      </c>
      <c r="O6" s="143" t="s">
        <v>171</v>
      </c>
      <c r="P6" s="143" t="s">
        <v>171</v>
      </c>
      <c r="Q6" s="143" t="s">
        <v>171</v>
      </c>
      <c r="R6" s="143" t="s">
        <v>171</v>
      </c>
      <c r="S6" s="143" t="s">
        <v>171</v>
      </c>
    </row>
    <row r="9" spans="1:19" x14ac:dyDescent="0.2">
      <c r="B9" s="102" t="s">
        <v>173</v>
      </c>
      <c r="C9" s="102" t="s">
        <v>174</v>
      </c>
      <c r="D9" s="102" t="s">
        <v>175</v>
      </c>
    </row>
    <row r="12" spans="1:19" x14ac:dyDescent="0.2">
      <c r="B12" s="144" t="str">
        <f>B9&amp;" "&amp;C9&amp;" "&amp;D9</f>
        <v>India Is Great</v>
      </c>
      <c r="C12" s="145"/>
      <c r="D12" s="146"/>
      <c r="G12" s="103" t="s">
        <v>176</v>
      </c>
    </row>
    <row r="15" spans="1:19" x14ac:dyDescent="0.2">
      <c r="B15" s="147" t="s">
        <v>177</v>
      </c>
      <c r="C15" s="148"/>
      <c r="D15" s="149"/>
      <c r="G15" s="103" t="s">
        <v>178</v>
      </c>
    </row>
  </sheetData>
  <protectedRanges>
    <protectedRange sqref="B9:D9" name="Range1"/>
    <protectedRange sqref="B12:D12" name="Range1_1"/>
    <protectedRange sqref="G12 G15" name="Range1_2"/>
    <protectedRange sqref="B15:D15" name="Range1_3"/>
  </protectedRanges>
  <mergeCells count="3">
    <mergeCell ref="B6:S6"/>
    <mergeCell ref="B12:D12"/>
    <mergeCell ref="B15:D15"/>
  </mergeCells>
  <hyperlinks>
    <hyperlink ref="A1" location="'Question Paper for Excel'!A1" display="Home"/>
    <hyperlink ref="B1" location="'Question 19'!A1" display="Previous Question"/>
  </hyperlinks>
  <pageMargins left="0.75" right="0.75" top="1" bottom="1" header="0.5" footer="0.5"/>
  <headerFooter alignWithMargins="0"/>
  <drawing r:id="rId1"/>
  <legacyDrawing r:id="rId2"/>
  <controls>
    <mc:AlternateContent xmlns:mc="http://schemas.openxmlformats.org/markup-compatibility/2006">
      <mc:Choice Requires="x14">
        <control shapeId="17409" r:id="rId3" name="CommandButton1">
          <controlPr defaultSize="0" autoLine="0" r:id="rId4">
            <anchor moveWithCells="1">
              <from>
                <xdr:col>3</xdr:col>
                <xdr:colOff>19050</xdr:colOff>
                <xdr:row>0</xdr:row>
                <xdr:rowOff>114300</xdr:rowOff>
              </from>
              <to>
                <xdr:col>4</xdr:col>
                <xdr:colOff>533400</xdr:colOff>
                <xdr:row>2</xdr:row>
                <xdr:rowOff>38100</xdr:rowOff>
              </to>
            </anchor>
          </controlPr>
        </control>
      </mc:Choice>
      <mc:Fallback>
        <control shapeId="17409" r:id="rId3" name="CommandButton1"/>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30"/>
  <sheetViews>
    <sheetView showGridLines="0" showRowColHeaders="0" workbookViewId="0">
      <selection activeCell="D4" sqref="D4"/>
    </sheetView>
  </sheetViews>
  <sheetFormatPr defaultRowHeight="15" x14ac:dyDescent="0.25"/>
  <cols>
    <col min="3" max="3" width="9.85546875" bestFit="1" customWidth="1"/>
    <col min="4" max="4" width="20.140625" bestFit="1" customWidth="1"/>
  </cols>
  <sheetData>
    <row r="2" spans="3:4" x14ac:dyDescent="0.25">
      <c r="C2" s="108" t="s">
        <v>184</v>
      </c>
      <c r="D2" s="108" t="s">
        <v>185</v>
      </c>
    </row>
    <row r="3" spans="3:4" x14ac:dyDescent="0.25">
      <c r="C3" s="109">
        <v>36012</v>
      </c>
      <c r="D3" s="109">
        <f>EOMONTH(C3,0)</f>
        <v>36038</v>
      </c>
    </row>
    <row r="4" spans="3:4" x14ac:dyDescent="0.25">
      <c r="C4" s="109">
        <v>36420</v>
      </c>
      <c r="D4" s="109">
        <f t="shared" ref="D4:D30" si="0">EOMONTH(C4,0)</f>
        <v>36433</v>
      </c>
    </row>
    <row r="5" spans="3:4" x14ac:dyDescent="0.25">
      <c r="C5" s="109">
        <v>36472</v>
      </c>
      <c r="D5" s="109">
        <f t="shared" si="0"/>
        <v>36494</v>
      </c>
    </row>
    <row r="6" spans="3:4" x14ac:dyDescent="0.25">
      <c r="C6" s="109">
        <v>36805</v>
      </c>
      <c r="D6" s="109">
        <f t="shared" si="0"/>
        <v>36830</v>
      </c>
    </row>
    <row r="7" spans="3:4" x14ac:dyDescent="0.25">
      <c r="C7" s="109">
        <v>37085</v>
      </c>
      <c r="D7" s="109">
        <f t="shared" si="0"/>
        <v>37103</v>
      </c>
    </row>
    <row r="8" spans="3:4" x14ac:dyDescent="0.25">
      <c r="C8" s="109">
        <v>37493</v>
      </c>
      <c r="D8" s="109">
        <f t="shared" si="0"/>
        <v>37499</v>
      </c>
    </row>
    <row r="9" spans="3:4" x14ac:dyDescent="0.25">
      <c r="C9" s="109">
        <v>37593</v>
      </c>
      <c r="D9" s="109">
        <f t="shared" si="0"/>
        <v>37621</v>
      </c>
    </row>
    <row r="10" spans="3:4" x14ac:dyDescent="0.25">
      <c r="C10" s="109">
        <v>38026</v>
      </c>
      <c r="D10" s="109">
        <f t="shared" si="0"/>
        <v>38046</v>
      </c>
    </row>
    <row r="11" spans="3:4" x14ac:dyDescent="0.25">
      <c r="C11" s="109">
        <v>38121</v>
      </c>
      <c r="D11" s="109">
        <f t="shared" si="0"/>
        <v>38138</v>
      </c>
    </row>
    <row r="12" spans="3:4" x14ac:dyDescent="0.25">
      <c r="C12" s="109">
        <v>38240</v>
      </c>
      <c r="D12" s="109">
        <f t="shared" si="0"/>
        <v>38260</v>
      </c>
    </row>
    <row r="13" spans="3:4" x14ac:dyDescent="0.25">
      <c r="C13" s="109">
        <v>38462</v>
      </c>
      <c r="D13" s="109">
        <f t="shared" si="0"/>
        <v>38472</v>
      </c>
    </row>
    <row r="14" spans="3:4" x14ac:dyDescent="0.25">
      <c r="C14" s="109">
        <v>39094</v>
      </c>
      <c r="D14" s="109">
        <f t="shared" si="0"/>
        <v>39113</v>
      </c>
    </row>
    <row r="15" spans="3:4" x14ac:dyDescent="0.25">
      <c r="C15" s="109">
        <v>39179</v>
      </c>
      <c r="D15" s="109">
        <f t="shared" si="0"/>
        <v>39202</v>
      </c>
    </row>
    <row r="16" spans="3:4" x14ac:dyDescent="0.25">
      <c r="C16" s="109">
        <v>39372</v>
      </c>
      <c r="D16" s="109">
        <f t="shared" si="0"/>
        <v>39386</v>
      </c>
    </row>
    <row r="17" spans="3:4" x14ac:dyDescent="0.25">
      <c r="C17" s="109">
        <v>39562</v>
      </c>
      <c r="D17" s="109">
        <f t="shared" si="0"/>
        <v>39568</v>
      </c>
    </row>
    <row r="18" spans="3:4" x14ac:dyDescent="0.25">
      <c r="C18" s="109">
        <v>40044</v>
      </c>
      <c r="D18" s="109">
        <f t="shared" si="0"/>
        <v>40056</v>
      </c>
    </row>
    <row r="19" spans="3:4" x14ac:dyDescent="0.25">
      <c r="C19" s="109">
        <v>40258</v>
      </c>
      <c r="D19" s="109">
        <f t="shared" si="0"/>
        <v>40268</v>
      </c>
    </row>
    <row r="20" spans="3:4" x14ac:dyDescent="0.25">
      <c r="C20" s="109">
        <v>40294</v>
      </c>
      <c r="D20" s="109">
        <f t="shared" si="0"/>
        <v>40298</v>
      </c>
    </row>
    <row r="21" spans="3:4" x14ac:dyDescent="0.25">
      <c r="C21" s="109">
        <v>40677</v>
      </c>
      <c r="D21" s="109">
        <f t="shared" si="0"/>
        <v>40694</v>
      </c>
    </row>
    <row r="22" spans="3:4" x14ac:dyDescent="0.25">
      <c r="C22" s="109">
        <v>41068</v>
      </c>
      <c r="D22" s="109">
        <f t="shared" si="0"/>
        <v>41090</v>
      </c>
    </row>
    <row r="23" spans="3:4" x14ac:dyDescent="0.25">
      <c r="C23" s="109">
        <v>41745</v>
      </c>
      <c r="D23" s="109">
        <f t="shared" si="0"/>
        <v>41759</v>
      </c>
    </row>
    <row r="24" spans="3:4" x14ac:dyDescent="0.25">
      <c r="C24" s="109">
        <v>41890</v>
      </c>
      <c r="D24" s="109">
        <f t="shared" si="0"/>
        <v>41912</v>
      </c>
    </row>
    <row r="25" spans="3:4" x14ac:dyDescent="0.25">
      <c r="C25" s="109">
        <v>42140</v>
      </c>
      <c r="D25" s="109">
        <f t="shared" si="0"/>
        <v>42155</v>
      </c>
    </row>
    <row r="26" spans="3:4" x14ac:dyDescent="0.25">
      <c r="C26" s="109">
        <v>42213</v>
      </c>
      <c r="D26" s="109">
        <f t="shared" si="0"/>
        <v>42216</v>
      </c>
    </row>
    <row r="27" spans="3:4" x14ac:dyDescent="0.25">
      <c r="C27" s="109">
        <v>42304</v>
      </c>
      <c r="D27" s="109">
        <f t="shared" si="0"/>
        <v>42308</v>
      </c>
    </row>
    <row r="28" spans="3:4" x14ac:dyDescent="0.25">
      <c r="C28" s="109">
        <v>42486</v>
      </c>
      <c r="D28" s="109">
        <f t="shared" si="0"/>
        <v>42490</v>
      </c>
    </row>
    <row r="29" spans="3:4" x14ac:dyDescent="0.25">
      <c r="C29" s="109">
        <v>42489</v>
      </c>
      <c r="D29" s="109">
        <f t="shared" si="0"/>
        <v>42490</v>
      </c>
    </row>
    <row r="30" spans="3:4" x14ac:dyDescent="0.25">
      <c r="C30" s="109">
        <v>42763</v>
      </c>
      <c r="D30" s="109">
        <f t="shared" si="0"/>
        <v>42766</v>
      </c>
    </row>
  </sheetData>
  <sortState ref="C3:C30">
    <sortCondition ref="C3"/>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H30"/>
  <sheetViews>
    <sheetView showGridLines="0" showRowColHeaders="0" workbookViewId="0">
      <selection activeCell="D13" sqref="D13"/>
    </sheetView>
  </sheetViews>
  <sheetFormatPr defaultRowHeight="15" x14ac:dyDescent="0.25"/>
  <cols>
    <col min="3" max="3" width="9.85546875" bestFit="1" customWidth="1"/>
    <col min="4" max="4" width="59.28515625" bestFit="1" customWidth="1"/>
    <col min="5" max="5" width="11.28515625" bestFit="1" customWidth="1"/>
    <col min="6" max="6" width="9.85546875" bestFit="1" customWidth="1"/>
  </cols>
  <sheetData>
    <row r="2" spans="3:8" x14ac:dyDescent="0.25">
      <c r="C2" s="108" t="s">
        <v>184</v>
      </c>
      <c r="D2" s="108" t="s">
        <v>187</v>
      </c>
    </row>
    <row r="3" spans="3:8" x14ac:dyDescent="0.25">
      <c r="C3" s="109">
        <v>36012</v>
      </c>
      <c r="D3" s="110" t="s">
        <v>186</v>
      </c>
      <c r="E3" s="152">
        <f>C3-WEEKDAY(C3,2)+1</f>
        <v>36010</v>
      </c>
      <c r="F3" s="152">
        <f>C3-WEEKDAY(C3,2)+8</f>
        <v>36017</v>
      </c>
      <c r="G3" t="str">
        <f>TEXT(E3,"d-mmm-yy")</f>
        <v>3-Aug-98</v>
      </c>
      <c r="H3" t="str">
        <f>TEXT(F3,"d-mmm-yy")</f>
        <v>10-Aug-98</v>
      </c>
    </row>
    <row r="4" spans="3:8" x14ac:dyDescent="0.25">
      <c r="C4" s="109">
        <v>36420</v>
      </c>
      <c r="D4" s="110" t="str">
        <f>G4&amp;" "&amp;"till"&amp; " "&amp;H4</f>
        <v>13-Sep-99 till 20-Sep-99</v>
      </c>
      <c r="E4" s="152">
        <f t="shared" ref="E4:E30" si="0">C4-WEEKDAY(C4,2)+1</f>
        <v>36416</v>
      </c>
      <c r="F4" s="152">
        <f t="shared" ref="F4:F30" si="1">C4-WEEKDAY(C4,2)+8</f>
        <v>36423</v>
      </c>
      <c r="G4" t="str">
        <f t="shared" ref="G4:G30" si="2">TEXT(E4,"d-mmm-yy")</f>
        <v>13-Sep-99</v>
      </c>
      <c r="H4" t="str">
        <f t="shared" ref="H4:H30" si="3">TEXT(F4,"d-mmm-yy")</f>
        <v>20-Sep-99</v>
      </c>
    </row>
    <row r="5" spans="3:8" x14ac:dyDescent="0.25">
      <c r="C5" s="109">
        <v>36472</v>
      </c>
      <c r="D5" s="110" t="str">
        <f t="shared" ref="D5:D30" si="4">G5&amp;" "&amp;"till"&amp; " "&amp;H5</f>
        <v>8-Nov-99 till 15-Nov-99</v>
      </c>
      <c r="E5" s="152">
        <f t="shared" si="0"/>
        <v>36472</v>
      </c>
      <c r="F5" s="152">
        <f t="shared" si="1"/>
        <v>36479</v>
      </c>
      <c r="G5" t="str">
        <f t="shared" si="2"/>
        <v>8-Nov-99</v>
      </c>
      <c r="H5" t="str">
        <f t="shared" si="3"/>
        <v>15-Nov-99</v>
      </c>
    </row>
    <row r="6" spans="3:8" x14ac:dyDescent="0.25">
      <c r="C6" s="109">
        <v>36805</v>
      </c>
      <c r="D6" s="110" t="str">
        <f t="shared" si="4"/>
        <v>2-Oct-00 till 9-Oct-00</v>
      </c>
      <c r="E6" s="152">
        <f t="shared" si="0"/>
        <v>36801</v>
      </c>
      <c r="F6" s="152">
        <f t="shared" si="1"/>
        <v>36808</v>
      </c>
      <c r="G6" t="str">
        <f t="shared" si="2"/>
        <v>2-Oct-00</v>
      </c>
      <c r="H6" t="str">
        <f t="shared" si="3"/>
        <v>9-Oct-00</v>
      </c>
    </row>
    <row r="7" spans="3:8" x14ac:dyDescent="0.25">
      <c r="C7" s="109">
        <v>37085</v>
      </c>
      <c r="D7" s="110" t="str">
        <f t="shared" si="4"/>
        <v>9-Jul-01 till 16-Jul-01</v>
      </c>
      <c r="E7" s="152">
        <f t="shared" si="0"/>
        <v>37081</v>
      </c>
      <c r="F7" s="152">
        <f t="shared" si="1"/>
        <v>37088</v>
      </c>
      <c r="G7" t="str">
        <f t="shared" si="2"/>
        <v>9-Jul-01</v>
      </c>
      <c r="H7" t="str">
        <f t="shared" si="3"/>
        <v>16-Jul-01</v>
      </c>
    </row>
    <row r="8" spans="3:8" x14ac:dyDescent="0.25">
      <c r="C8" s="109">
        <v>37493</v>
      </c>
      <c r="D8" s="110" t="str">
        <f t="shared" si="4"/>
        <v>19-Aug-02 till 26-Aug-02</v>
      </c>
      <c r="E8" s="152">
        <f t="shared" si="0"/>
        <v>37487</v>
      </c>
      <c r="F8" s="152">
        <f t="shared" si="1"/>
        <v>37494</v>
      </c>
      <c r="G8" t="str">
        <f t="shared" si="2"/>
        <v>19-Aug-02</v>
      </c>
      <c r="H8" t="str">
        <f t="shared" si="3"/>
        <v>26-Aug-02</v>
      </c>
    </row>
    <row r="9" spans="3:8" x14ac:dyDescent="0.25">
      <c r="C9" s="109">
        <v>37593</v>
      </c>
      <c r="D9" s="110" t="str">
        <f t="shared" si="4"/>
        <v>2-Dec-02 till 9-Dec-02</v>
      </c>
      <c r="E9" s="152">
        <f t="shared" si="0"/>
        <v>37592</v>
      </c>
      <c r="F9" s="152">
        <f t="shared" si="1"/>
        <v>37599</v>
      </c>
      <c r="G9" t="str">
        <f t="shared" si="2"/>
        <v>2-Dec-02</v>
      </c>
      <c r="H9" t="str">
        <f t="shared" si="3"/>
        <v>9-Dec-02</v>
      </c>
    </row>
    <row r="10" spans="3:8" x14ac:dyDescent="0.25">
      <c r="C10" s="109">
        <v>38026</v>
      </c>
      <c r="D10" s="110" t="str">
        <f t="shared" si="4"/>
        <v>9-Feb-04 till 16-Feb-04</v>
      </c>
      <c r="E10" s="152">
        <f t="shared" si="0"/>
        <v>38026</v>
      </c>
      <c r="F10" s="152">
        <f t="shared" si="1"/>
        <v>38033</v>
      </c>
      <c r="G10" t="str">
        <f t="shared" si="2"/>
        <v>9-Feb-04</v>
      </c>
      <c r="H10" t="str">
        <f t="shared" si="3"/>
        <v>16-Feb-04</v>
      </c>
    </row>
    <row r="11" spans="3:8" x14ac:dyDescent="0.25">
      <c r="C11" s="109">
        <v>38121</v>
      </c>
      <c r="D11" s="110" t="str">
        <f t="shared" si="4"/>
        <v>10-May-04 till 17-May-04</v>
      </c>
      <c r="E11" s="152">
        <f t="shared" si="0"/>
        <v>38117</v>
      </c>
      <c r="F11" s="152">
        <f t="shared" si="1"/>
        <v>38124</v>
      </c>
      <c r="G11" t="str">
        <f t="shared" si="2"/>
        <v>10-May-04</v>
      </c>
      <c r="H11" t="str">
        <f t="shared" si="3"/>
        <v>17-May-04</v>
      </c>
    </row>
    <row r="12" spans="3:8" x14ac:dyDescent="0.25">
      <c r="C12" s="109">
        <v>38240</v>
      </c>
      <c r="D12" s="110" t="str">
        <f t="shared" si="4"/>
        <v>6-Sep-04 till 13-Sep-04</v>
      </c>
      <c r="E12" s="152">
        <f t="shared" si="0"/>
        <v>38236</v>
      </c>
      <c r="F12" s="152">
        <f t="shared" si="1"/>
        <v>38243</v>
      </c>
      <c r="G12" t="str">
        <f t="shared" si="2"/>
        <v>6-Sep-04</v>
      </c>
      <c r="H12" t="str">
        <f t="shared" si="3"/>
        <v>13-Sep-04</v>
      </c>
    </row>
    <row r="13" spans="3:8" x14ac:dyDescent="0.25">
      <c r="C13" s="109">
        <v>38462</v>
      </c>
      <c r="D13" s="110" t="str">
        <f t="shared" si="4"/>
        <v>18-Apr-05 till 25-Apr-05</v>
      </c>
      <c r="E13" s="152">
        <f t="shared" si="0"/>
        <v>38460</v>
      </c>
      <c r="F13" s="152">
        <f t="shared" si="1"/>
        <v>38467</v>
      </c>
      <c r="G13" t="str">
        <f t="shared" si="2"/>
        <v>18-Apr-05</v>
      </c>
      <c r="H13" t="str">
        <f t="shared" si="3"/>
        <v>25-Apr-05</v>
      </c>
    </row>
    <row r="14" spans="3:8" x14ac:dyDescent="0.25">
      <c r="C14" s="109">
        <v>39094</v>
      </c>
      <c r="D14" s="110" t="str">
        <f t="shared" si="4"/>
        <v>8-Jan-07 till 15-Jan-07</v>
      </c>
      <c r="E14" s="152">
        <f t="shared" si="0"/>
        <v>39090</v>
      </c>
      <c r="F14" s="152">
        <f t="shared" si="1"/>
        <v>39097</v>
      </c>
      <c r="G14" t="str">
        <f t="shared" si="2"/>
        <v>8-Jan-07</v>
      </c>
      <c r="H14" t="str">
        <f t="shared" si="3"/>
        <v>15-Jan-07</v>
      </c>
    </row>
    <row r="15" spans="3:8" x14ac:dyDescent="0.25">
      <c r="C15" s="109">
        <v>39179</v>
      </c>
      <c r="D15" s="110" t="str">
        <f t="shared" si="4"/>
        <v>2-Apr-07 till 9-Apr-07</v>
      </c>
      <c r="E15" s="152">
        <f t="shared" si="0"/>
        <v>39174</v>
      </c>
      <c r="F15" s="152">
        <f t="shared" si="1"/>
        <v>39181</v>
      </c>
      <c r="G15" t="str">
        <f t="shared" si="2"/>
        <v>2-Apr-07</v>
      </c>
      <c r="H15" t="str">
        <f t="shared" si="3"/>
        <v>9-Apr-07</v>
      </c>
    </row>
    <row r="16" spans="3:8" x14ac:dyDescent="0.25">
      <c r="C16" s="109">
        <v>39372</v>
      </c>
      <c r="D16" s="110" t="str">
        <f t="shared" si="4"/>
        <v>15-Oct-07 till 22-Oct-07</v>
      </c>
      <c r="E16" s="152">
        <f t="shared" si="0"/>
        <v>39370</v>
      </c>
      <c r="F16" s="152">
        <f t="shared" si="1"/>
        <v>39377</v>
      </c>
      <c r="G16" t="str">
        <f t="shared" si="2"/>
        <v>15-Oct-07</v>
      </c>
      <c r="H16" t="str">
        <f t="shared" si="3"/>
        <v>22-Oct-07</v>
      </c>
    </row>
    <row r="17" spans="3:8" x14ac:dyDescent="0.25">
      <c r="C17" s="109">
        <v>39562</v>
      </c>
      <c r="D17" s="110" t="str">
        <f t="shared" si="4"/>
        <v>21-Apr-08 till 28-Apr-08</v>
      </c>
      <c r="E17" s="152">
        <f t="shared" si="0"/>
        <v>39559</v>
      </c>
      <c r="F17" s="152">
        <f t="shared" si="1"/>
        <v>39566</v>
      </c>
      <c r="G17" t="str">
        <f t="shared" si="2"/>
        <v>21-Apr-08</v>
      </c>
      <c r="H17" t="str">
        <f t="shared" si="3"/>
        <v>28-Apr-08</v>
      </c>
    </row>
    <row r="18" spans="3:8" x14ac:dyDescent="0.25">
      <c r="C18" s="109">
        <v>40044</v>
      </c>
      <c r="D18" s="110" t="str">
        <f t="shared" si="4"/>
        <v>17-Aug-09 till 24-Aug-09</v>
      </c>
      <c r="E18" s="152">
        <f t="shared" si="0"/>
        <v>40042</v>
      </c>
      <c r="F18" s="152">
        <f t="shared" si="1"/>
        <v>40049</v>
      </c>
      <c r="G18" t="str">
        <f t="shared" si="2"/>
        <v>17-Aug-09</v>
      </c>
      <c r="H18" t="str">
        <f t="shared" si="3"/>
        <v>24-Aug-09</v>
      </c>
    </row>
    <row r="19" spans="3:8" x14ac:dyDescent="0.25">
      <c r="C19" s="109">
        <v>40258</v>
      </c>
      <c r="D19" s="110" t="str">
        <f t="shared" si="4"/>
        <v>15-Mar-10 till 22-Mar-10</v>
      </c>
      <c r="E19" s="152">
        <f t="shared" si="0"/>
        <v>40252</v>
      </c>
      <c r="F19" s="152">
        <f t="shared" si="1"/>
        <v>40259</v>
      </c>
      <c r="G19" t="str">
        <f t="shared" si="2"/>
        <v>15-Mar-10</v>
      </c>
      <c r="H19" t="str">
        <f t="shared" si="3"/>
        <v>22-Mar-10</v>
      </c>
    </row>
    <row r="20" spans="3:8" x14ac:dyDescent="0.25">
      <c r="C20" s="109">
        <v>40294</v>
      </c>
      <c r="D20" s="110" t="str">
        <f t="shared" si="4"/>
        <v>26-Apr-10 till 3-May-10</v>
      </c>
      <c r="E20" s="152">
        <f t="shared" si="0"/>
        <v>40294</v>
      </c>
      <c r="F20" s="152">
        <f t="shared" si="1"/>
        <v>40301</v>
      </c>
      <c r="G20" t="str">
        <f t="shared" si="2"/>
        <v>26-Apr-10</v>
      </c>
      <c r="H20" t="str">
        <f t="shared" si="3"/>
        <v>3-May-10</v>
      </c>
    </row>
    <row r="21" spans="3:8" x14ac:dyDescent="0.25">
      <c r="C21" s="109">
        <v>40677</v>
      </c>
      <c r="D21" s="110" t="str">
        <f t="shared" si="4"/>
        <v>9-May-11 till 16-May-11</v>
      </c>
      <c r="E21" s="152">
        <f t="shared" si="0"/>
        <v>40672</v>
      </c>
      <c r="F21" s="152">
        <f t="shared" si="1"/>
        <v>40679</v>
      </c>
      <c r="G21" t="str">
        <f t="shared" si="2"/>
        <v>9-May-11</v>
      </c>
      <c r="H21" t="str">
        <f t="shared" si="3"/>
        <v>16-May-11</v>
      </c>
    </row>
    <row r="22" spans="3:8" x14ac:dyDescent="0.25">
      <c r="C22" s="109">
        <v>41068</v>
      </c>
      <c r="D22" s="110" t="str">
        <f t="shared" si="4"/>
        <v>4-Jun-12 till 11-Jun-12</v>
      </c>
      <c r="E22" s="152">
        <f t="shared" si="0"/>
        <v>41064</v>
      </c>
      <c r="F22" s="152">
        <f t="shared" si="1"/>
        <v>41071</v>
      </c>
      <c r="G22" t="str">
        <f t="shared" si="2"/>
        <v>4-Jun-12</v>
      </c>
      <c r="H22" t="str">
        <f t="shared" si="3"/>
        <v>11-Jun-12</v>
      </c>
    </row>
    <row r="23" spans="3:8" x14ac:dyDescent="0.25">
      <c r="C23" s="109">
        <v>41745</v>
      </c>
      <c r="D23" s="110" t="str">
        <f t="shared" si="4"/>
        <v>14-Apr-14 till 21-Apr-14</v>
      </c>
      <c r="E23" s="152">
        <f t="shared" si="0"/>
        <v>41743</v>
      </c>
      <c r="F23" s="152">
        <f t="shared" si="1"/>
        <v>41750</v>
      </c>
      <c r="G23" t="str">
        <f t="shared" si="2"/>
        <v>14-Apr-14</v>
      </c>
      <c r="H23" t="str">
        <f t="shared" si="3"/>
        <v>21-Apr-14</v>
      </c>
    </row>
    <row r="24" spans="3:8" x14ac:dyDescent="0.25">
      <c r="C24" s="109">
        <v>41890</v>
      </c>
      <c r="D24" s="110" t="str">
        <f t="shared" si="4"/>
        <v>8-Sep-14 till 15-Sep-14</v>
      </c>
      <c r="E24" s="152">
        <f t="shared" si="0"/>
        <v>41890</v>
      </c>
      <c r="F24" s="152">
        <f t="shared" si="1"/>
        <v>41897</v>
      </c>
      <c r="G24" t="str">
        <f t="shared" si="2"/>
        <v>8-Sep-14</v>
      </c>
      <c r="H24" t="str">
        <f t="shared" si="3"/>
        <v>15-Sep-14</v>
      </c>
    </row>
    <row r="25" spans="3:8" x14ac:dyDescent="0.25">
      <c r="C25" s="109">
        <v>42140</v>
      </c>
      <c r="D25" s="110" t="str">
        <f t="shared" si="4"/>
        <v>11-May-15 till 18-May-15</v>
      </c>
      <c r="E25" s="152">
        <f t="shared" si="0"/>
        <v>42135</v>
      </c>
      <c r="F25" s="152">
        <f t="shared" si="1"/>
        <v>42142</v>
      </c>
      <c r="G25" t="str">
        <f t="shared" si="2"/>
        <v>11-May-15</v>
      </c>
      <c r="H25" t="str">
        <f t="shared" si="3"/>
        <v>18-May-15</v>
      </c>
    </row>
    <row r="26" spans="3:8" x14ac:dyDescent="0.25">
      <c r="C26" s="109">
        <v>42213</v>
      </c>
      <c r="D26" s="110" t="str">
        <f t="shared" si="4"/>
        <v>27-Jul-15 till 3-Aug-15</v>
      </c>
      <c r="E26" s="152">
        <f t="shared" si="0"/>
        <v>42212</v>
      </c>
      <c r="F26" s="152">
        <f t="shared" si="1"/>
        <v>42219</v>
      </c>
      <c r="G26" t="str">
        <f t="shared" si="2"/>
        <v>27-Jul-15</v>
      </c>
      <c r="H26" t="str">
        <f t="shared" si="3"/>
        <v>3-Aug-15</v>
      </c>
    </row>
    <row r="27" spans="3:8" x14ac:dyDescent="0.25">
      <c r="C27" s="109">
        <v>42304</v>
      </c>
      <c r="D27" s="110" t="str">
        <f t="shared" si="4"/>
        <v>26-Oct-15 till 2-Nov-15</v>
      </c>
      <c r="E27" s="152">
        <f t="shared" si="0"/>
        <v>42303</v>
      </c>
      <c r="F27" s="152">
        <f t="shared" si="1"/>
        <v>42310</v>
      </c>
      <c r="G27" t="str">
        <f t="shared" si="2"/>
        <v>26-Oct-15</v>
      </c>
      <c r="H27" t="str">
        <f t="shared" si="3"/>
        <v>2-Nov-15</v>
      </c>
    </row>
    <row r="28" spans="3:8" x14ac:dyDescent="0.25">
      <c r="C28" s="109">
        <v>42486</v>
      </c>
      <c r="D28" s="110" t="str">
        <f t="shared" si="4"/>
        <v>25-Apr-16 till 2-May-16</v>
      </c>
      <c r="E28" s="152">
        <f t="shared" si="0"/>
        <v>42485</v>
      </c>
      <c r="F28" s="152">
        <f t="shared" si="1"/>
        <v>42492</v>
      </c>
      <c r="G28" t="str">
        <f t="shared" si="2"/>
        <v>25-Apr-16</v>
      </c>
      <c r="H28" t="str">
        <f t="shared" si="3"/>
        <v>2-May-16</v>
      </c>
    </row>
    <row r="29" spans="3:8" x14ac:dyDescent="0.25">
      <c r="C29" s="109">
        <v>42489</v>
      </c>
      <c r="D29" s="110" t="str">
        <f t="shared" si="4"/>
        <v>25-Apr-16 till 2-May-16</v>
      </c>
      <c r="E29" s="152">
        <f t="shared" si="0"/>
        <v>42485</v>
      </c>
      <c r="F29" s="152">
        <f t="shared" si="1"/>
        <v>42492</v>
      </c>
      <c r="G29" t="str">
        <f t="shared" si="2"/>
        <v>25-Apr-16</v>
      </c>
      <c r="H29" t="str">
        <f t="shared" si="3"/>
        <v>2-May-16</v>
      </c>
    </row>
    <row r="30" spans="3:8" x14ac:dyDescent="0.25">
      <c r="C30" s="109">
        <v>42763</v>
      </c>
      <c r="D30" s="110" t="str">
        <f t="shared" si="4"/>
        <v>23-Jan-17 till 30-Jan-17</v>
      </c>
      <c r="E30" s="152">
        <f t="shared" si="0"/>
        <v>42758</v>
      </c>
      <c r="F30" s="152">
        <f t="shared" si="1"/>
        <v>42765</v>
      </c>
      <c r="G30" t="str">
        <f t="shared" si="2"/>
        <v>23-Jan-17</v>
      </c>
      <c r="H30" t="str">
        <f t="shared" si="3"/>
        <v>30-Jan-17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E90"/>
  <sheetViews>
    <sheetView showGridLines="0" showRowColHeaders="0" zoomScale="85" zoomScaleNormal="85" workbookViewId="0">
      <selection activeCell="D23" sqref="D23:D90"/>
    </sheetView>
  </sheetViews>
  <sheetFormatPr defaultRowHeight="15" x14ac:dyDescent="0.25"/>
  <cols>
    <col min="2" max="2" width="70.85546875" customWidth="1"/>
    <col min="3" max="3" width="18" bestFit="1" customWidth="1"/>
    <col min="4" max="4" width="15.42578125" bestFit="1" customWidth="1"/>
    <col min="8" max="12" width="27.5703125" customWidth="1"/>
  </cols>
  <sheetData>
    <row r="2" spans="2:5" x14ac:dyDescent="0.25">
      <c r="B2" t="s">
        <v>188</v>
      </c>
    </row>
    <row r="3" spans="2:5" x14ac:dyDescent="0.25">
      <c r="B3" t="s">
        <v>189</v>
      </c>
    </row>
    <row r="4" spans="2:5" x14ac:dyDescent="0.25">
      <c r="B4" t="s">
        <v>190</v>
      </c>
    </row>
    <row r="5" spans="2:5" x14ac:dyDescent="0.25">
      <c r="B5" t="s">
        <v>193</v>
      </c>
    </row>
    <row r="6" spans="2:5" x14ac:dyDescent="0.25">
      <c r="B6" t="s">
        <v>192</v>
      </c>
    </row>
    <row r="8" spans="2:5" ht="36" x14ac:dyDescent="0.25">
      <c r="B8" s="111"/>
      <c r="C8" s="111" t="s">
        <v>194</v>
      </c>
      <c r="D8" s="111" t="s">
        <v>195</v>
      </c>
      <c r="E8" s="111" t="s">
        <v>196</v>
      </c>
    </row>
    <row r="9" spans="2:5" x14ac:dyDescent="0.25">
      <c r="B9" s="111" t="s">
        <v>197</v>
      </c>
      <c r="C9" s="112">
        <v>30</v>
      </c>
      <c r="D9" s="112" t="s">
        <v>198</v>
      </c>
      <c r="E9" s="112">
        <v>0</v>
      </c>
    </row>
    <row r="10" spans="2:5" x14ac:dyDescent="0.25">
      <c r="B10" s="111" t="s">
        <v>197</v>
      </c>
      <c r="C10" s="112">
        <v>60</v>
      </c>
      <c r="D10" s="112" t="s">
        <v>199</v>
      </c>
      <c r="E10" s="112">
        <v>0</v>
      </c>
    </row>
    <row r="11" spans="2:5" x14ac:dyDescent="0.25">
      <c r="B11" s="111" t="s">
        <v>197</v>
      </c>
      <c r="C11" s="112">
        <v>90</v>
      </c>
      <c r="D11" s="112" t="s">
        <v>200</v>
      </c>
      <c r="E11" s="112">
        <v>30</v>
      </c>
    </row>
    <row r="12" spans="2:5" x14ac:dyDescent="0.25">
      <c r="B12" s="111" t="s">
        <v>197</v>
      </c>
      <c r="C12" s="112">
        <v>180</v>
      </c>
      <c r="D12" s="112" t="s">
        <v>201</v>
      </c>
      <c r="E12" s="112">
        <v>30</v>
      </c>
    </row>
    <row r="13" spans="2:5" x14ac:dyDescent="0.25">
      <c r="B13" s="111" t="s">
        <v>197</v>
      </c>
      <c r="C13" s="112">
        <v>270</v>
      </c>
      <c r="D13" s="112" t="s">
        <v>202</v>
      </c>
      <c r="E13" s="112">
        <v>30</v>
      </c>
    </row>
    <row r="14" spans="2:5" x14ac:dyDescent="0.25">
      <c r="B14" s="111" t="s">
        <v>203</v>
      </c>
      <c r="C14" s="112">
        <v>60</v>
      </c>
      <c r="D14" s="112" t="s">
        <v>199</v>
      </c>
      <c r="E14" s="112">
        <v>0</v>
      </c>
    </row>
    <row r="15" spans="2:5" x14ac:dyDescent="0.25">
      <c r="B15" s="111" t="s">
        <v>203</v>
      </c>
      <c r="C15" s="112">
        <v>90</v>
      </c>
      <c r="D15" s="112" t="s">
        <v>200</v>
      </c>
      <c r="E15" s="112">
        <v>30</v>
      </c>
    </row>
    <row r="16" spans="2:5" x14ac:dyDescent="0.25">
      <c r="B16" s="111" t="s">
        <v>203</v>
      </c>
      <c r="C16" s="112">
        <v>180</v>
      </c>
      <c r="D16" s="112" t="s">
        <v>201</v>
      </c>
      <c r="E16" s="112">
        <v>30</v>
      </c>
    </row>
    <row r="17" spans="2:5" x14ac:dyDescent="0.25">
      <c r="B17" s="111" t="s">
        <v>203</v>
      </c>
      <c r="C17" s="112">
        <v>270</v>
      </c>
      <c r="D17" s="112" t="s">
        <v>202</v>
      </c>
      <c r="E17" s="112">
        <v>30</v>
      </c>
    </row>
    <row r="18" spans="2:5" x14ac:dyDescent="0.25">
      <c r="B18" s="111" t="s">
        <v>203</v>
      </c>
      <c r="C18" s="112">
        <v>300</v>
      </c>
      <c r="D18" s="112" t="s">
        <v>204</v>
      </c>
      <c r="E18" s="112">
        <v>60</v>
      </c>
    </row>
    <row r="19" spans="2:5" x14ac:dyDescent="0.25">
      <c r="B19" s="111" t="s">
        <v>203</v>
      </c>
      <c r="C19" s="112">
        <v>570</v>
      </c>
      <c r="D19" s="112" t="s">
        <v>205</v>
      </c>
      <c r="E19" s="112">
        <v>60</v>
      </c>
    </row>
    <row r="20" spans="2:5" x14ac:dyDescent="0.25">
      <c r="B20" s="111" t="s">
        <v>203</v>
      </c>
      <c r="C20" s="112">
        <v>690</v>
      </c>
      <c r="D20" s="112" t="s">
        <v>206</v>
      </c>
      <c r="E20" s="112">
        <v>90</v>
      </c>
    </row>
    <row r="21" spans="2:5" x14ac:dyDescent="0.25">
      <c r="B21" s="113"/>
      <c r="C21" s="113"/>
      <c r="D21" s="113"/>
      <c r="E21" s="113"/>
    </row>
    <row r="22" spans="2:5" x14ac:dyDescent="0.25">
      <c r="B22" s="110" t="s">
        <v>207</v>
      </c>
      <c r="C22" s="108" t="s">
        <v>208</v>
      </c>
      <c r="D22" s="110" t="s">
        <v>191</v>
      </c>
      <c r="E22" s="114"/>
    </row>
    <row r="23" spans="2:5" x14ac:dyDescent="0.25">
      <c r="B23" s="110">
        <v>17</v>
      </c>
      <c r="C23" s="108" t="s">
        <v>209</v>
      </c>
      <c r="D23" s="110">
        <f>IF(C23="WEEKDAY",IF(B23&lt;90,0,30),IF(B23&lt;90,0,IF(B23&lt;300,30,IF(B23&lt;690,60,90))))</f>
        <v>0</v>
      </c>
      <c r="E23" s="114"/>
    </row>
    <row r="24" spans="2:5" x14ac:dyDescent="0.25">
      <c r="B24" s="110">
        <v>19</v>
      </c>
      <c r="C24" s="108" t="s">
        <v>210</v>
      </c>
      <c r="D24" s="110">
        <f t="shared" ref="D24:D87" si="0">IF(C24="WEEKDAY",IF(B24&lt;90,0,30),IF(B24&lt;90,0,IF(B24&lt;300,30,IF(B24&lt;690,60,90))))</f>
        <v>0</v>
      </c>
      <c r="E24" s="114"/>
    </row>
    <row r="25" spans="2:5" x14ac:dyDescent="0.25">
      <c r="B25" s="110">
        <v>21</v>
      </c>
      <c r="C25" s="108" t="s">
        <v>210</v>
      </c>
      <c r="D25" s="110">
        <f t="shared" si="0"/>
        <v>0</v>
      </c>
      <c r="E25" s="114"/>
    </row>
    <row r="26" spans="2:5" x14ac:dyDescent="0.25">
      <c r="B26" s="110">
        <v>30</v>
      </c>
      <c r="C26" s="108" t="s">
        <v>209</v>
      </c>
      <c r="D26" s="110">
        <f t="shared" si="0"/>
        <v>0</v>
      </c>
      <c r="E26" s="114"/>
    </row>
    <row r="27" spans="2:5" x14ac:dyDescent="0.25">
      <c r="B27" s="110">
        <v>34</v>
      </c>
      <c r="C27" s="108" t="s">
        <v>209</v>
      </c>
      <c r="D27" s="110">
        <f t="shared" si="0"/>
        <v>0</v>
      </c>
      <c r="E27" s="114"/>
    </row>
    <row r="28" spans="2:5" x14ac:dyDescent="0.25">
      <c r="B28" s="110">
        <v>37</v>
      </c>
      <c r="C28" s="108" t="s">
        <v>210</v>
      </c>
      <c r="D28" s="110">
        <f t="shared" si="0"/>
        <v>0</v>
      </c>
      <c r="E28" s="114"/>
    </row>
    <row r="29" spans="2:5" x14ac:dyDescent="0.25">
      <c r="B29" s="110">
        <v>59</v>
      </c>
      <c r="C29" s="108" t="s">
        <v>209</v>
      </c>
      <c r="D29" s="110">
        <f t="shared" si="0"/>
        <v>0</v>
      </c>
      <c r="E29" s="114"/>
    </row>
    <row r="30" spans="2:5" x14ac:dyDescent="0.25">
      <c r="B30" s="110">
        <v>61</v>
      </c>
      <c r="C30" s="108" t="s">
        <v>209</v>
      </c>
      <c r="D30" s="110">
        <f t="shared" si="0"/>
        <v>0</v>
      </c>
      <c r="E30" s="114"/>
    </row>
    <row r="31" spans="2:5" x14ac:dyDescent="0.25">
      <c r="B31" s="110">
        <v>66</v>
      </c>
      <c r="C31" s="108" t="s">
        <v>210</v>
      </c>
      <c r="D31" s="110">
        <f t="shared" si="0"/>
        <v>0</v>
      </c>
      <c r="E31" s="114"/>
    </row>
    <row r="32" spans="2:5" x14ac:dyDescent="0.25">
      <c r="B32" s="110">
        <v>70</v>
      </c>
      <c r="C32" s="108" t="s">
        <v>209</v>
      </c>
      <c r="D32" s="110">
        <f t="shared" si="0"/>
        <v>0</v>
      </c>
      <c r="E32" s="114"/>
    </row>
    <row r="33" spans="2:5" x14ac:dyDescent="0.25">
      <c r="B33" s="110">
        <v>71</v>
      </c>
      <c r="C33" s="108" t="s">
        <v>209</v>
      </c>
      <c r="D33" s="110">
        <f t="shared" si="0"/>
        <v>0</v>
      </c>
      <c r="E33" s="114"/>
    </row>
    <row r="34" spans="2:5" x14ac:dyDescent="0.25">
      <c r="B34" s="110">
        <v>74</v>
      </c>
      <c r="C34" s="108" t="s">
        <v>209</v>
      </c>
      <c r="D34" s="110">
        <f t="shared" si="0"/>
        <v>0</v>
      </c>
      <c r="E34" s="114"/>
    </row>
    <row r="35" spans="2:5" x14ac:dyDescent="0.25">
      <c r="B35" s="110">
        <v>88</v>
      </c>
      <c r="C35" s="108" t="s">
        <v>210</v>
      </c>
      <c r="D35" s="110">
        <f t="shared" si="0"/>
        <v>0</v>
      </c>
      <c r="E35" s="114"/>
    </row>
    <row r="36" spans="2:5" x14ac:dyDescent="0.25">
      <c r="B36" s="110">
        <v>90</v>
      </c>
      <c r="C36" s="108" t="s">
        <v>210</v>
      </c>
      <c r="D36" s="110">
        <f t="shared" si="0"/>
        <v>30</v>
      </c>
      <c r="E36" s="114"/>
    </row>
    <row r="37" spans="2:5" x14ac:dyDescent="0.25">
      <c r="B37" s="110">
        <v>90</v>
      </c>
      <c r="C37" s="108" t="s">
        <v>210</v>
      </c>
      <c r="D37" s="110">
        <f t="shared" si="0"/>
        <v>30</v>
      </c>
      <c r="E37" s="114"/>
    </row>
    <row r="38" spans="2:5" x14ac:dyDescent="0.25">
      <c r="B38" s="110">
        <v>90</v>
      </c>
      <c r="C38" s="108" t="s">
        <v>209</v>
      </c>
      <c r="D38" s="110">
        <f t="shared" si="0"/>
        <v>30</v>
      </c>
      <c r="E38" s="114"/>
    </row>
    <row r="39" spans="2:5" x14ac:dyDescent="0.25">
      <c r="B39" s="110">
        <v>93</v>
      </c>
      <c r="C39" s="108" t="s">
        <v>210</v>
      </c>
      <c r="D39" s="110">
        <f t="shared" si="0"/>
        <v>30</v>
      </c>
      <c r="E39" s="114"/>
    </row>
    <row r="40" spans="2:5" x14ac:dyDescent="0.25">
      <c r="B40" s="110">
        <v>99</v>
      </c>
      <c r="C40" s="108" t="s">
        <v>210</v>
      </c>
      <c r="D40" s="110">
        <f t="shared" si="0"/>
        <v>30</v>
      </c>
      <c r="E40" s="114"/>
    </row>
    <row r="41" spans="2:5" x14ac:dyDescent="0.25">
      <c r="B41" s="110">
        <v>120</v>
      </c>
      <c r="C41" s="108" t="s">
        <v>210</v>
      </c>
      <c r="D41" s="110">
        <f t="shared" si="0"/>
        <v>30</v>
      </c>
      <c r="E41" s="114"/>
    </row>
    <row r="42" spans="2:5" x14ac:dyDescent="0.25">
      <c r="B42" s="110">
        <v>140</v>
      </c>
      <c r="C42" s="108" t="s">
        <v>209</v>
      </c>
      <c r="D42" s="110">
        <f t="shared" si="0"/>
        <v>30</v>
      </c>
      <c r="E42" s="114"/>
    </row>
    <row r="43" spans="2:5" x14ac:dyDescent="0.25">
      <c r="B43" s="110">
        <v>158</v>
      </c>
      <c r="C43" s="108" t="s">
        <v>210</v>
      </c>
      <c r="D43" s="110">
        <f t="shared" si="0"/>
        <v>30</v>
      </c>
      <c r="E43" s="114"/>
    </row>
    <row r="44" spans="2:5" x14ac:dyDescent="0.25">
      <c r="B44" s="110">
        <v>165</v>
      </c>
      <c r="C44" s="108" t="s">
        <v>210</v>
      </c>
      <c r="D44" s="110">
        <f t="shared" si="0"/>
        <v>30</v>
      </c>
      <c r="E44" s="114"/>
    </row>
    <row r="45" spans="2:5" x14ac:dyDescent="0.25">
      <c r="B45" s="110">
        <v>176</v>
      </c>
      <c r="C45" s="108" t="s">
        <v>209</v>
      </c>
      <c r="D45" s="110">
        <f t="shared" si="0"/>
        <v>30</v>
      </c>
      <c r="E45" s="114"/>
    </row>
    <row r="46" spans="2:5" x14ac:dyDescent="0.25">
      <c r="B46" s="110">
        <v>185</v>
      </c>
      <c r="C46" s="108" t="s">
        <v>209</v>
      </c>
      <c r="D46" s="110">
        <f t="shared" si="0"/>
        <v>30</v>
      </c>
      <c r="E46" s="114"/>
    </row>
    <row r="47" spans="2:5" x14ac:dyDescent="0.25">
      <c r="B47" s="110">
        <v>186</v>
      </c>
      <c r="C47" s="108" t="s">
        <v>210</v>
      </c>
      <c r="D47" s="110">
        <f t="shared" si="0"/>
        <v>30</v>
      </c>
      <c r="E47" s="114"/>
    </row>
    <row r="48" spans="2:5" x14ac:dyDescent="0.25">
      <c r="B48" s="110">
        <v>188</v>
      </c>
      <c r="C48" s="108" t="s">
        <v>210</v>
      </c>
      <c r="D48" s="110">
        <f t="shared" si="0"/>
        <v>30</v>
      </c>
      <c r="E48" s="114"/>
    </row>
    <row r="49" spans="2:5" x14ac:dyDescent="0.25">
      <c r="B49" s="110">
        <v>191</v>
      </c>
      <c r="C49" s="108" t="s">
        <v>210</v>
      </c>
      <c r="D49" s="110">
        <f t="shared" si="0"/>
        <v>30</v>
      </c>
      <c r="E49" s="114"/>
    </row>
    <row r="50" spans="2:5" x14ac:dyDescent="0.25">
      <c r="B50" s="110">
        <v>206</v>
      </c>
      <c r="C50" s="108" t="s">
        <v>210</v>
      </c>
      <c r="D50" s="110">
        <f t="shared" si="0"/>
        <v>30</v>
      </c>
      <c r="E50" s="114"/>
    </row>
    <row r="51" spans="2:5" x14ac:dyDescent="0.25">
      <c r="B51" s="110">
        <v>216</v>
      </c>
      <c r="C51" s="108" t="s">
        <v>209</v>
      </c>
      <c r="D51" s="110">
        <f t="shared" si="0"/>
        <v>30</v>
      </c>
      <c r="E51" s="114"/>
    </row>
    <row r="52" spans="2:5" x14ac:dyDescent="0.25">
      <c r="B52" s="110">
        <v>217</v>
      </c>
      <c r="C52" s="108" t="s">
        <v>210</v>
      </c>
      <c r="D52" s="110">
        <f t="shared" si="0"/>
        <v>30</v>
      </c>
      <c r="E52" s="114"/>
    </row>
    <row r="53" spans="2:5" x14ac:dyDescent="0.25">
      <c r="B53" s="110">
        <v>218</v>
      </c>
      <c r="C53" s="108" t="s">
        <v>209</v>
      </c>
      <c r="D53" s="110">
        <f t="shared" si="0"/>
        <v>30</v>
      </c>
      <c r="E53" s="114"/>
    </row>
    <row r="54" spans="2:5" x14ac:dyDescent="0.25">
      <c r="B54" s="110">
        <v>225</v>
      </c>
      <c r="C54" s="108" t="s">
        <v>209</v>
      </c>
      <c r="D54" s="110">
        <f t="shared" si="0"/>
        <v>30</v>
      </c>
      <c r="E54" s="114"/>
    </row>
    <row r="55" spans="2:5" x14ac:dyDescent="0.25">
      <c r="B55" s="110">
        <v>245</v>
      </c>
      <c r="C55" s="108" t="s">
        <v>209</v>
      </c>
      <c r="D55" s="110">
        <f t="shared" si="0"/>
        <v>30</v>
      </c>
      <c r="E55" s="114"/>
    </row>
    <row r="56" spans="2:5" x14ac:dyDescent="0.25">
      <c r="B56" s="110">
        <v>247</v>
      </c>
      <c r="C56" s="108" t="s">
        <v>209</v>
      </c>
      <c r="D56" s="110">
        <f t="shared" si="0"/>
        <v>30</v>
      </c>
      <c r="E56" s="114"/>
    </row>
    <row r="57" spans="2:5" x14ac:dyDescent="0.25">
      <c r="B57" s="110">
        <v>249</v>
      </c>
      <c r="C57" s="108" t="s">
        <v>210</v>
      </c>
      <c r="D57" s="110">
        <f t="shared" si="0"/>
        <v>30</v>
      </c>
      <c r="E57" s="114"/>
    </row>
    <row r="58" spans="2:5" x14ac:dyDescent="0.25">
      <c r="B58" s="110">
        <v>260</v>
      </c>
      <c r="C58" s="108" t="s">
        <v>210</v>
      </c>
      <c r="D58" s="110">
        <f t="shared" si="0"/>
        <v>30</v>
      </c>
      <c r="E58" s="114"/>
    </row>
    <row r="59" spans="2:5" x14ac:dyDescent="0.25">
      <c r="B59" s="110">
        <v>263</v>
      </c>
      <c r="C59" s="108" t="s">
        <v>209</v>
      </c>
      <c r="D59" s="110">
        <f t="shared" si="0"/>
        <v>30</v>
      </c>
      <c r="E59" s="114"/>
    </row>
    <row r="60" spans="2:5" x14ac:dyDescent="0.25">
      <c r="B60" s="110">
        <v>272</v>
      </c>
      <c r="C60" s="108" t="s">
        <v>209</v>
      </c>
      <c r="D60" s="110">
        <f t="shared" si="0"/>
        <v>30</v>
      </c>
      <c r="E60" s="114"/>
    </row>
    <row r="61" spans="2:5" x14ac:dyDescent="0.25">
      <c r="B61" s="110">
        <v>278</v>
      </c>
      <c r="C61" s="108" t="s">
        <v>210</v>
      </c>
      <c r="D61" s="110">
        <f t="shared" si="0"/>
        <v>30</v>
      </c>
      <c r="E61" s="114"/>
    </row>
    <row r="62" spans="2:5" x14ac:dyDescent="0.25">
      <c r="B62" s="110">
        <v>288</v>
      </c>
      <c r="C62" s="108" t="s">
        <v>209</v>
      </c>
      <c r="D62" s="110">
        <f t="shared" si="0"/>
        <v>30</v>
      </c>
      <c r="E62" s="114"/>
    </row>
    <row r="63" spans="2:5" x14ac:dyDescent="0.25">
      <c r="B63" s="110">
        <v>307</v>
      </c>
      <c r="C63" s="108" t="s">
        <v>209</v>
      </c>
      <c r="D63" s="110">
        <f t="shared" si="0"/>
        <v>30</v>
      </c>
      <c r="E63" s="114"/>
    </row>
    <row r="64" spans="2:5" x14ac:dyDescent="0.25">
      <c r="B64" s="110">
        <v>308</v>
      </c>
      <c r="C64" s="108" t="s">
        <v>210</v>
      </c>
      <c r="D64" s="110">
        <f t="shared" si="0"/>
        <v>60</v>
      </c>
      <c r="E64" s="114"/>
    </row>
    <row r="65" spans="2:5" x14ac:dyDescent="0.25">
      <c r="B65" s="110">
        <v>314</v>
      </c>
      <c r="C65" s="108" t="s">
        <v>210</v>
      </c>
      <c r="D65" s="110">
        <f t="shared" si="0"/>
        <v>60</v>
      </c>
      <c r="E65" s="114"/>
    </row>
    <row r="66" spans="2:5" x14ac:dyDescent="0.25">
      <c r="B66" s="110">
        <v>314</v>
      </c>
      <c r="C66" s="108" t="s">
        <v>209</v>
      </c>
      <c r="D66" s="110">
        <f t="shared" si="0"/>
        <v>30</v>
      </c>
      <c r="E66" s="114"/>
    </row>
    <row r="67" spans="2:5" x14ac:dyDescent="0.25">
      <c r="B67" s="110">
        <v>316</v>
      </c>
      <c r="C67" s="108" t="s">
        <v>210</v>
      </c>
      <c r="D67" s="110">
        <f t="shared" si="0"/>
        <v>60</v>
      </c>
      <c r="E67" s="114"/>
    </row>
    <row r="68" spans="2:5" x14ac:dyDescent="0.25">
      <c r="B68" s="110">
        <v>320</v>
      </c>
      <c r="C68" s="108" t="s">
        <v>209</v>
      </c>
      <c r="D68" s="110">
        <f t="shared" si="0"/>
        <v>30</v>
      </c>
      <c r="E68" s="114"/>
    </row>
    <row r="69" spans="2:5" x14ac:dyDescent="0.25">
      <c r="B69" s="110">
        <v>340</v>
      </c>
      <c r="C69" s="108" t="s">
        <v>209</v>
      </c>
      <c r="D69" s="110">
        <f t="shared" si="0"/>
        <v>30</v>
      </c>
      <c r="E69" s="114"/>
    </row>
    <row r="70" spans="2:5" x14ac:dyDescent="0.25">
      <c r="B70" s="110">
        <v>340</v>
      </c>
      <c r="C70" s="108" t="s">
        <v>210</v>
      </c>
      <c r="D70" s="110">
        <f t="shared" si="0"/>
        <v>60</v>
      </c>
      <c r="E70" s="114"/>
    </row>
    <row r="71" spans="2:5" x14ac:dyDescent="0.25">
      <c r="B71" s="110">
        <v>348</v>
      </c>
      <c r="C71" s="108" t="s">
        <v>210</v>
      </c>
      <c r="D71" s="110">
        <f t="shared" si="0"/>
        <v>60</v>
      </c>
      <c r="E71" s="114"/>
    </row>
    <row r="72" spans="2:5" x14ac:dyDescent="0.25">
      <c r="B72" s="110">
        <v>353</v>
      </c>
      <c r="C72" s="108" t="s">
        <v>209</v>
      </c>
      <c r="D72" s="110">
        <f t="shared" si="0"/>
        <v>30</v>
      </c>
      <c r="E72" s="114"/>
    </row>
    <row r="73" spans="2:5" x14ac:dyDescent="0.25">
      <c r="B73" s="110">
        <v>358</v>
      </c>
      <c r="C73" s="108" t="s">
        <v>210</v>
      </c>
      <c r="D73" s="110">
        <f t="shared" si="0"/>
        <v>60</v>
      </c>
      <c r="E73" s="114"/>
    </row>
    <row r="74" spans="2:5" x14ac:dyDescent="0.25">
      <c r="B74" s="110">
        <v>359</v>
      </c>
      <c r="C74" s="108" t="s">
        <v>209</v>
      </c>
      <c r="D74" s="110">
        <f t="shared" si="0"/>
        <v>30</v>
      </c>
      <c r="E74" s="114"/>
    </row>
    <row r="75" spans="2:5" x14ac:dyDescent="0.25">
      <c r="B75" s="110">
        <v>360</v>
      </c>
      <c r="C75" s="108" t="s">
        <v>209</v>
      </c>
      <c r="D75" s="110">
        <f t="shared" si="0"/>
        <v>30</v>
      </c>
      <c r="E75" s="114"/>
    </row>
    <row r="76" spans="2:5" x14ac:dyDescent="0.25">
      <c r="B76" s="110">
        <v>371</v>
      </c>
      <c r="C76" s="108" t="s">
        <v>209</v>
      </c>
      <c r="D76" s="110">
        <f t="shared" si="0"/>
        <v>30</v>
      </c>
      <c r="E76" s="114"/>
    </row>
    <row r="77" spans="2:5" x14ac:dyDescent="0.25">
      <c r="B77" s="110">
        <v>390</v>
      </c>
      <c r="C77" s="108" t="s">
        <v>210</v>
      </c>
      <c r="D77" s="110">
        <f t="shared" si="0"/>
        <v>60</v>
      </c>
      <c r="E77" s="114"/>
    </row>
    <row r="78" spans="2:5" x14ac:dyDescent="0.25">
      <c r="B78" s="110">
        <v>397</v>
      </c>
      <c r="C78" s="108" t="s">
        <v>210</v>
      </c>
      <c r="D78" s="110">
        <f t="shared" si="0"/>
        <v>60</v>
      </c>
      <c r="E78" s="114"/>
    </row>
    <row r="79" spans="2:5" x14ac:dyDescent="0.25">
      <c r="B79" s="110">
        <v>410</v>
      </c>
      <c r="C79" s="108" t="s">
        <v>210</v>
      </c>
      <c r="D79" s="110">
        <f t="shared" si="0"/>
        <v>60</v>
      </c>
      <c r="E79" s="114"/>
    </row>
    <row r="80" spans="2:5" x14ac:dyDescent="0.25">
      <c r="B80" s="110">
        <v>423</v>
      </c>
      <c r="C80" s="108" t="s">
        <v>210</v>
      </c>
      <c r="D80" s="110">
        <f t="shared" si="0"/>
        <v>60</v>
      </c>
      <c r="E80" s="114"/>
    </row>
    <row r="81" spans="2:5" x14ac:dyDescent="0.25">
      <c r="B81" s="110">
        <v>425</v>
      </c>
      <c r="C81" s="108" t="s">
        <v>209</v>
      </c>
      <c r="D81" s="110">
        <f t="shared" si="0"/>
        <v>30</v>
      </c>
      <c r="E81" s="114"/>
    </row>
    <row r="82" spans="2:5" x14ac:dyDescent="0.25">
      <c r="B82" s="110">
        <v>437</v>
      </c>
      <c r="C82" s="108" t="s">
        <v>209</v>
      </c>
      <c r="D82" s="110">
        <f t="shared" si="0"/>
        <v>30</v>
      </c>
      <c r="E82" s="114"/>
    </row>
    <row r="83" spans="2:5" x14ac:dyDescent="0.25">
      <c r="B83" s="110">
        <v>446</v>
      </c>
      <c r="C83" s="108" t="s">
        <v>210</v>
      </c>
      <c r="D83" s="110">
        <f t="shared" si="0"/>
        <v>60</v>
      </c>
      <c r="E83" s="114"/>
    </row>
    <row r="84" spans="2:5" x14ac:dyDescent="0.25">
      <c r="B84" s="110">
        <v>472</v>
      </c>
      <c r="C84" s="108" t="s">
        <v>209</v>
      </c>
      <c r="D84" s="110">
        <f t="shared" si="0"/>
        <v>30</v>
      </c>
      <c r="E84" s="114"/>
    </row>
    <row r="85" spans="2:5" x14ac:dyDescent="0.25">
      <c r="B85" s="110">
        <v>474</v>
      </c>
      <c r="C85" s="108" t="s">
        <v>210</v>
      </c>
      <c r="D85" s="110">
        <f t="shared" si="0"/>
        <v>60</v>
      </c>
      <c r="E85" s="114"/>
    </row>
    <row r="86" spans="2:5" x14ac:dyDescent="0.25">
      <c r="B86" s="110">
        <v>482</v>
      </c>
      <c r="C86" s="108" t="s">
        <v>210</v>
      </c>
      <c r="D86" s="110">
        <f t="shared" si="0"/>
        <v>60</v>
      </c>
      <c r="E86" s="114"/>
    </row>
    <row r="87" spans="2:5" x14ac:dyDescent="0.25">
      <c r="B87" s="110">
        <v>483</v>
      </c>
      <c r="C87" s="108" t="s">
        <v>209</v>
      </c>
      <c r="D87" s="110">
        <f t="shared" si="0"/>
        <v>30</v>
      </c>
      <c r="E87" s="114"/>
    </row>
    <row r="88" spans="2:5" x14ac:dyDescent="0.25">
      <c r="B88" s="110">
        <v>499</v>
      </c>
      <c r="C88" s="108" t="s">
        <v>209</v>
      </c>
      <c r="D88" s="110">
        <f t="shared" ref="D88:D90" si="1">IF(C88="WEEKDAY",IF(B88&lt;90,0,30),IF(B88&lt;90,0,IF(B88&lt;300,30,IF(B88&lt;690,60,90))))</f>
        <v>30</v>
      </c>
      <c r="E88" s="114"/>
    </row>
    <row r="89" spans="2:5" x14ac:dyDescent="0.25">
      <c r="B89" s="110">
        <v>506</v>
      </c>
      <c r="C89" s="108" t="s">
        <v>209</v>
      </c>
      <c r="D89" s="110">
        <f t="shared" si="1"/>
        <v>30</v>
      </c>
      <c r="E89" s="114"/>
    </row>
    <row r="90" spans="2:5" x14ac:dyDescent="0.25">
      <c r="B90" s="110">
        <v>700</v>
      </c>
      <c r="C90" s="108" t="s">
        <v>210</v>
      </c>
      <c r="D90" s="110">
        <f t="shared" si="1"/>
        <v>90</v>
      </c>
      <c r="E90" s="114"/>
    </row>
  </sheetData>
  <sortState ref="B9:C76">
    <sortCondition ref="B9"/>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H8"/>
  <sheetViews>
    <sheetView showGridLines="0" showRowColHeaders="0" tabSelected="1" topLeftCell="A2" workbookViewId="0">
      <selection activeCell="J20" sqref="J20"/>
    </sheetView>
  </sheetViews>
  <sheetFormatPr defaultColWidth="28.28515625" defaultRowHeight="15" x14ac:dyDescent="0.25"/>
  <cols>
    <col min="1" max="2" width="3" customWidth="1"/>
    <col min="3" max="3" width="11.28515625" bestFit="1" customWidth="1"/>
    <col min="4" max="4" width="7.5703125" bestFit="1" customWidth="1"/>
    <col min="5" max="5" width="10" bestFit="1" customWidth="1"/>
    <col min="6" max="6" width="9" bestFit="1" customWidth="1"/>
    <col min="7" max="7" width="13.5703125" bestFit="1" customWidth="1"/>
  </cols>
  <sheetData>
    <row r="4" spans="3:8" ht="60" x14ac:dyDescent="0.25">
      <c r="C4" s="115" t="s">
        <v>211</v>
      </c>
      <c r="D4" s="116" t="s">
        <v>212</v>
      </c>
      <c r="E4" s="116" t="s">
        <v>218</v>
      </c>
      <c r="F4" s="116" t="s">
        <v>213</v>
      </c>
      <c r="G4" s="116" t="s">
        <v>214</v>
      </c>
      <c r="H4" s="116"/>
    </row>
    <row r="5" spans="3:8" x14ac:dyDescent="0.25">
      <c r="C5" s="117" t="s">
        <v>215</v>
      </c>
      <c r="D5" s="117">
        <v>2</v>
      </c>
      <c r="E5" s="117">
        <v>1</v>
      </c>
      <c r="F5" s="117" t="s">
        <v>216</v>
      </c>
      <c r="G5" s="118" t="s">
        <v>219</v>
      </c>
      <c r="H5" s="118" t="s">
        <v>220</v>
      </c>
    </row>
    <row r="6" spans="3:8" x14ac:dyDescent="0.25">
      <c r="C6" s="117" t="s">
        <v>215</v>
      </c>
      <c r="D6" s="117">
        <v>2</v>
      </c>
      <c r="E6" s="117">
        <v>5</v>
      </c>
      <c r="F6" s="117" t="s">
        <v>216</v>
      </c>
      <c r="G6" s="118" t="str">
        <f>REPLACE(C6,6,1,"x")</f>
        <v>ABCDExGH</v>
      </c>
      <c r="H6" s="118" t="str">
        <f>SUBSTITUTE(C6,"F","x")</f>
        <v>ABCDExGH</v>
      </c>
    </row>
    <row r="7" spans="3:8" x14ac:dyDescent="0.25">
      <c r="C7" s="117" t="s">
        <v>215</v>
      </c>
      <c r="D7" s="117">
        <v>2</v>
      </c>
      <c r="E7" s="117">
        <v>1</v>
      </c>
      <c r="F7" s="117" t="s">
        <v>217</v>
      </c>
      <c r="G7" s="118" t="str">
        <f>REPLACE(C7,2,1,"hello")</f>
        <v>AhelloCDEFGH</v>
      </c>
      <c r="H7" s="118" t="str">
        <f>SUBSTITUTE(C7,"B","hello")</f>
        <v>AhelloCDEFGH</v>
      </c>
    </row>
    <row r="8" spans="3:8" x14ac:dyDescent="0.25">
      <c r="C8" s="117" t="s">
        <v>215</v>
      </c>
      <c r="D8" s="117">
        <v>2</v>
      </c>
      <c r="E8" s="117">
        <v>5</v>
      </c>
      <c r="F8" s="117" t="s">
        <v>217</v>
      </c>
      <c r="G8" s="118" t="str">
        <f>REPLACE(C8,6,1,"hello")</f>
        <v>ABCDEhelloGH</v>
      </c>
      <c r="H8" s="118" t="str">
        <f>SUBSTITUTE(C8,"F","hello")</f>
        <v>ABCDEhelloGH</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Question Paper for Excel</vt:lpstr>
      <vt:lpstr>Question 1</vt:lpstr>
      <vt:lpstr>Question 2</vt:lpstr>
      <vt:lpstr>Question 3</vt:lpstr>
      <vt:lpstr>Question 4</vt:lpstr>
      <vt:lpstr>Question 5</vt:lpstr>
      <vt:lpstr>Question 6</vt:lpstr>
      <vt:lpstr>Question 7</vt:lpstr>
      <vt:lpstr>Question 8</vt:lpstr>
      <vt:lpstr>Question 9</vt:lpstr>
      <vt:lpstr>Question 10</vt:lpstr>
      <vt:lpstr>Question 11</vt:lpstr>
      <vt:lpstr>Question 12</vt:lpstr>
      <vt:lpstr>Question 13</vt:lpstr>
      <vt:lpstr>Question 14</vt:lpstr>
      <vt:lpstr>Question 15</vt:lpstr>
      <vt:lpstr>Question 16</vt:lpstr>
      <vt:lpstr>Question 17</vt:lpstr>
      <vt:lpstr>Question 18</vt:lpstr>
      <vt:lpstr>Question 19</vt:lpstr>
      <vt:lpstr>Question 20</vt:lpstr>
      <vt:lpstr>Question 21</vt:lpstr>
      <vt:lpstr>Question 22</vt:lpstr>
      <vt:lpstr>Question 23</vt:lpstr>
      <vt:lpstr>Question 24</vt:lpstr>
      <vt:lpstr>'Question 12'!Extract</vt:lpstr>
    </vt:vector>
  </TitlesOfParts>
  <Company>UnitedHealth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Sharma, Varun</dc:creator>
  <cp:lastModifiedBy>kshitiz</cp:lastModifiedBy>
  <dcterms:created xsi:type="dcterms:W3CDTF">2015-04-29T13:47:12Z</dcterms:created>
  <dcterms:modified xsi:type="dcterms:W3CDTF">2017-08-17T12:41:55Z</dcterms:modified>
</cp:coreProperties>
</file>